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Raw" sheetId="1" r:id="rId1"/>
    <sheet name="transform" sheetId="2" r:id="rId2"/>
    <sheet name="legend" sheetId="3" r:id="rId3"/>
    <sheet name="all" sheetId="4" r:id="rId4"/>
    <sheet name="highG" sheetId="14" r:id="rId5"/>
    <sheet name="lowG" sheetId="15" r:id="rId6"/>
    <sheet name="highS" sheetId="16" r:id="rId7"/>
    <sheet name="lowS" sheetId="17" r:id="rId8"/>
    <sheet name="veil" sheetId="13" r:id="rId9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<sst xmlns="http://schemas.openxmlformats.org/spreadsheetml/2006/main" count="5172" uniqueCount="605">
  <si>
    <t>Group</t>
  </si>
  <si>
    <t>Id</t>
  </si>
  <si>
    <t>Participation date</t>
  </si>
  <si>
    <t>First game</t>
  </si>
  <si>
    <t>Birth year</t>
  </si>
  <si>
    <t>study</t>
  </si>
  <si>
    <t>mother tongue</t>
  </si>
  <si>
    <t>General Info: Q1</t>
  </si>
  <si>
    <t>General Info: Q2</t>
  </si>
  <si>
    <t>General Info: Q3</t>
  </si>
  <si>
    <t>General Info: Q4</t>
  </si>
  <si>
    <t>General Info: Q5</t>
  </si>
  <si>
    <t>General Info: Q6</t>
  </si>
  <si>
    <t>General Info: Q7</t>
  </si>
  <si>
    <t>Volleyball: Q1</t>
  </si>
  <si>
    <t>Volleyball: Q2</t>
  </si>
  <si>
    <t>Volleyball: Q3</t>
  </si>
  <si>
    <t>Volleyball: Q4</t>
  </si>
  <si>
    <t>Volleyball: Q5</t>
  </si>
  <si>
    <t>Volleyball: Q6</t>
  </si>
  <si>
    <t>Volleyball: Q7</t>
  </si>
  <si>
    <t>Team: Q1</t>
  </si>
  <si>
    <t>Team: Q2</t>
  </si>
  <si>
    <t>Team: Q3</t>
  </si>
  <si>
    <t>Team: Q4</t>
  </si>
  <si>
    <t>Team: Q5-1</t>
  </si>
  <si>
    <t>Team: Q5-2</t>
  </si>
  <si>
    <t>Team: Q5-3</t>
  </si>
  <si>
    <t>Team: Q5-4</t>
  </si>
  <si>
    <t>Team: Q5-5</t>
  </si>
  <si>
    <t>Team: Q5-6</t>
  </si>
  <si>
    <t>Team: Q5-7</t>
  </si>
  <si>
    <t>Team: Q5-8</t>
  </si>
  <si>
    <t>Team: Q5-9</t>
  </si>
  <si>
    <t>Team: Q6-1</t>
  </si>
  <si>
    <t>Team: Q6-2</t>
  </si>
  <si>
    <t>Team: Q6-3</t>
  </si>
  <si>
    <t>Team: Q6-4</t>
  </si>
  <si>
    <t>Team: Q6-5</t>
  </si>
  <si>
    <t>Team: Q6-6</t>
  </si>
  <si>
    <t>Team: Q6-7</t>
  </si>
  <si>
    <t>Team: Q6-8</t>
  </si>
  <si>
    <t>Team: Q6-9</t>
  </si>
  <si>
    <t>Team: Q7-12</t>
  </si>
  <si>
    <t>Team: Q7-13</t>
  </si>
  <si>
    <t>Team: Q7-14</t>
  </si>
  <si>
    <t>Team: Q7-15</t>
  </si>
  <si>
    <t>Team: Q7-16</t>
  </si>
  <si>
    <t>Team: Q7-17</t>
  </si>
  <si>
    <t>Team: Q7-18</t>
  </si>
  <si>
    <t>Team: Q7-19</t>
  </si>
  <si>
    <t>Team: Q7-23</t>
  </si>
  <si>
    <t>Team: Q7-24</t>
  </si>
  <si>
    <t>Team: Q7-25</t>
  </si>
  <si>
    <t>Team: Q7-26</t>
  </si>
  <si>
    <t>Team: Q7-27</t>
  </si>
  <si>
    <t>Team: Q7-28</t>
  </si>
  <si>
    <t>Team: Q7-29</t>
  </si>
  <si>
    <t>Team: Q7-34</t>
  </si>
  <si>
    <t>Team: Q7-35</t>
  </si>
  <si>
    <t>Team: Q7-36</t>
  </si>
  <si>
    <t>Team: Q7-37</t>
  </si>
  <si>
    <t>Team: Q7-38</t>
  </si>
  <si>
    <t>Team: Q7-39</t>
  </si>
  <si>
    <t>Team: Q7-45</t>
  </si>
  <si>
    <t>Team: Q7-46</t>
  </si>
  <si>
    <t>Team: Q7-47</t>
  </si>
  <si>
    <t>Team: Q7-48</t>
  </si>
  <si>
    <t>Team: Q7-49</t>
  </si>
  <si>
    <t>Team: Q7-56</t>
  </si>
  <si>
    <t>Team: Q7-57</t>
  </si>
  <si>
    <t>Team: Q7-58</t>
  </si>
  <si>
    <t>Team: Q7-59</t>
  </si>
  <si>
    <t>Team: Q7-67</t>
  </si>
  <si>
    <t>Team: Q7-68</t>
  </si>
  <si>
    <t>Team: Q7-69</t>
  </si>
  <si>
    <t>Team: Q7-78</t>
  </si>
  <si>
    <t>Team: Q7-79</t>
  </si>
  <si>
    <t>Team: Q7-89</t>
  </si>
  <si>
    <t>Team - Player (1) - A/B</t>
  </si>
  <si>
    <t>Team - Player (2) - A/B</t>
  </si>
  <si>
    <t>Volley - Player (1) - A/B</t>
  </si>
  <si>
    <t>Volley - Player (2) - A/B</t>
  </si>
  <si>
    <t>stranger - Player (1) - A/B</t>
  </si>
  <si>
    <t>stranger - Player (2) - A/B</t>
  </si>
  <si>
    <t>Team - Player (1) - In</t>
  </si>
  <si>
    <t>Volley - Player (1) - In</t>
  </si>
  <si>
    <t>Stranger - Player (1) - In</t>
  </si>
  <si>
    <t>Stranger - Player (1) - A/B</t>
  </si>
  <si>
    <t>Stranger - Player (2) - A/B</t>
  </si>
  <si>
    <t>M1</t>
  </si>
  <si>
    <t>one shot</t>
  </si>
  <si>
    <t>Economics</t>
  </si>
  <si>
    <t>French</t>
  </si>
  <si>
    <t>No</t>
  </si>
  <si>
    <t>Fair</t>
  </si>
  <si>
    <t>Cooperate</t>
  </si>
  <si>
    <t>Distrust</t>
  </si>
  <si>
    <t>PS</t>
  </si>
  <si>
    <t>Other</t>
  </si>
  <si>
    <t>Rouen</t>
  </si>
  <si>
    <t>*</t>
  </si>
  <si>
    <t>Handball</t>
  </si>
  <si>
    <t>VolleyballSt Orens</t>
  </si>
  <si>
    <t>OM</t>
  </si>
  <si>
    <t>Toulouse</t>
  </si>
  <si>
    <t>Best team</t>
  </si>
  <si>
    <t>like a lot</t>
  </si>
  <si>
    <t>like</t>
  </si>
  <si>
    <t>B</t>
  </si>
  <si>
    <t>YES</t>
  </si>
  <si>
    <t>A</t>
  </si>
  <si>
    <t>Law</t>
  </si>
  <si>
    <t>Unfair</t>
  </si>
  <si>
    <t>Catholicism</t>
  </si>
  <si>
    <t>soccer, tennis, mountain bike, bodyboard, swimming</t>
  </si>
  <si>
    <t>AS Cannes</t>
  </si>
  <si>
    <t>TFC, AC Milan</t>
  </si>
  <si>
    <t>Friends</t>
  </si>
  <si>
    <t>indifferent</t>
  </si>
  <si>
    <t>Management</t>
  </si>
  <si>
    <t>Yes</t>
  </si>
  <si>
    <t>Trust</t>
  </si>
  <si>
    <t>PCF</t>
  </si>
  <si>
    <t>Protestantism</t>
  </si>
  <si>
    <t>Niort</t>
  </si>
  <si>
    <t>Gym</t>
  </si>
  <si>
    <t>Trail, Running, Cycling, tennis</t>
  </si>
  <si>
    <t>Tours, Poitier, Montpelier</t>
  </si>
  <si>
    <t>Toulouse, Montpellier</t>
  </si>
  <si>
    <t>NO</t>
  </si>
  <si>
    <t>Polish</t>
  </si>
  <si>
    <t>Defect</t>
  </si>
  <si>
    <t>UMP</t>
  </si>
  <si>
    <t>Gracovie (Poland)</t>
  </si>
  <si>
    <t>Basketball</t>
  </si>
  <si>
    <t>Resovia Rzeszow (??)</t>
  </si>
  <si>
    <t>Barca</t>
  </si>
  <si>
    <t>Politics</t>
  </si>
  <si>
    <t>Paris</t>
  </si>
  <si>
    <t>Tennis, soccer, kayak</t>
  </si>
  <si>
    <t>Spacers</t>
  </si>
  <si>
    <t>Guingamp</t>
  </si>
  <si>
    <t>Computer Sc</t>
  </si>
  <si>
    <t>Nice</t>
  </si>
  <si>
    <t>Beach volley</t>
  </si>
  <si>
    <t>Swimming, running</t>
  </si>
  <si>
    <t>Nice, Monaco</t>
  </si>
  <si>
    <t>Naitonal team</t>
  </si>
  <si>
    <t>Albi</t>
  </si>
  <si>
    <t>tennis</t>
  </si>
  <si>
    <t>Manchester United</t>
  </si>
  <si>
    <t>MoDem</t>
  </si>
  <si>
    <t>Groulhet</t>
  </si>
  <si>
    <t>squash</t>
  </si>
  <si>
    <t>Toulouse (TOAC TUC)</t>
  </si>
  <si>
    <t>Lyon</t>
  </si>
  <si>
    <t>M2</t>
  </si>
  <si>
    <t>Don't know</t>
  </si>
  <si>
    <t>Roller</t>
  </si>
  <si>
    <t>Benfica</t>
  </si>
  <si>
    <t>Castres</t>
  </si>
  <si>
    <t>climbing</t>
  </si>
  <si>
    <t>TFC</t>
  </si>
  <si>
    <t>Castres, Toulouse</t>
  </si>
  <si>
    <t>+ like a lot</t>
  </si>
  <si>
    <t>don't know</t>
  </si>
  <si>
    <t>EELV</t>
  </si>
  <si>
    <t>Islam</t>
  </si>
  <si>
    <t>Lavelanet</t>
  </si>
  <si>
    <t>rugby, tennis</t>
  </si>
  <si>
    <t>Cuba (?)</t>
  </si>
  <si>
    <t>Cracovie (Poland)</t>
  </si>
  <si>
    <t>ski, tennis</t>
  </si>
  <si>
    <t>nationa team</t>
  </si>
  <si>
    <t>Wisla Krakow</t>
  </si>
  <si>
    <t>Russian</t>
  </si>
  <si>
    <t>Arkhangdsk (Russia)</t>
  </si>
  <si>
    <t>soccer</t>
  </si>
  <si>
    <t>Zenit</t>
  </si>
  <si>
    <t>Perpignan</t>
  </si>
  <si>
    <t>Fort de France</t>
  </si>
  <si>
    <t>tennis, swimming</t>
  </si>
  <si>
    <t>AES</t>
  </si>
  <si>
    <t>Tizi-Ouzan (Algeria)</t>
  </si>
  <si>
    <t>Boxing, Self-defense</t>
  </si>
  <si>
    <t>mountain-biking</t>
  </si>
  <si>
    <t>Real Madrid</t>
  </si>
  <si>
    <t>M3</t>
  </si>
  <si>
    <t>two stage</t>
  </si>
  <si>
    <t>Ris-Orangis</t>
  </si>
  <si>
    <t>ping pong</t>
  </si>
  <si>
    <t>Spacers, Nationa team</t>
  </si>
  <si>
    <t>Saint Etiennes, Napoli, National team</t>
  </si>
  <si>
    <t>Toulouse, national team</t>
  </si>
  <si>
    <t>Judaisme</t>
  </si>
  <si>
    <t>E-sport</t>
  </si>
  <si>
    <t>futsal</t>
  </si>
  <si>
    <t>soccer, ping-pong, cycling, ski</t>
  </si>
  <si>
    <t>spacers</t>
  </si>
  <si>
    <t>Agen</t>
  </si>
  <si>
    <t>Salsa, swimming</t>
  </si>
  <si>
    <t>Clermont</t>
  </si>
  <si>
    <t>Eloise</t>
  </si>
  <si>
    <t>rugby</t>
  </si>
  <si>
    <t>rugby, mountain bike, running</t>
  </si>
  <si>
    <t>Evian Thonon Gaillard</t>
  </si>
  <si>
    <t>other</t>
  </si>
  <si>
    <t>Charliar</t>
  </si>
  <si>
    <t>soccer, badminton</t>
  </si>
  <si>
    <t>Clermont-Ferrand</t>
  </si>
  <si>
    <t>Triathlon</t>
  </si>
  <si>
    <t>M4</t>
  </si>
  <si>
    <t>Caen</t>
  </si>
  <si>
    <t>Athletisme</t>
  </si>
  <si>
    <t>Soccer</t>
  </si>
  <si>
    <t>Caen, OM, Real Madrid</t>
  </si>
  <si>
    <t>dislike</t>
  </si>
  <si>
    <t>Liury-organ</t>
  </si>
  <si>
    <t>soccer, running, rugby,ski</t>
  </si>
  <si>
    <t>swimming</t>
  </si>
  <si>
    <t>RCT</t>
  </si>
  <si>
    <t>St Vallier</t>
  </si>
  <si>
    <t>ski,tennis,rugby</t>
  </si>
  <si>
    <t>Italian</t>
  </si>
  <si>
    <t>Venise (Italy)</t>
  </si>
  <si>
    <t>AC Milan</t>
  </si>
  <si>
    <t>Benetton Treviso</t>
  </si>
  <si>
    <t>Bouddhism</t>
  </si>
  <si>
    <t>St Claude</t>
  </si>
  <si>
    <t>Brazil</t>
  </si>
  <si>
    <t>team sports, snowboard</t>
  </si>
  <si>
    <t>M5</t>
  </si>
  <si>
    <t>national team</t>
  </si>
  <si>
    <t>Villeneuve/lot</t>
  </si>
  <si>
    <t>running</t>
  </si>
  <si>
    <t>Bordeaux</t>
  </si>
  <si>
    <t>Groix</t>
  </si>
  <si>
    <t>climbing, tennis, swimming</t>
  </si>
  <si>
    <t>Dola</t>
  </si>
  <si>
    <t>soccer, judo</t>
  </si>
  <si>
    <t>Bulgarian</t>
  </si>
  <si>
    <t>Sofia (Bulgaria)</t>
  </si>
  <si>
    <t>soccer, tennir, swimming</t>
  </si>
  <si>
    <t>Barca, Levski</t>
  </si>
  <si>
    <t>German</t>
  </si>
  <si>
    <t>Berlin (Germany)</t>
  </si>
  <si>
    <t>France</t>
  </si>
  <si>
    <t>Berlin</t>
  </si>
  <si>
    <t>F1</t>
  </si>
  <si>
    <t>Quimper</t>
  </si>
  <si>
    <t>running, beach volley</t>
  </si>
  <si>
    <t>La rochelle</t>
  </si>
  <si>
    <t>cycling, paragliding, ski, trekking</t>
  </si>
  <si>
    <t>spacers, Cannes</t>
  </si>
  <si>
    <t>Moscow (Russia)</t>
  </si>
  <si>
    <t>dancing</t>
  </si>
  <si>
    <t>beach volley</t>
  </si>
  <si>
    <t>ski</t>
  </si>
  <si>
    <t>spacers, union</t>
  </si>
  <si>
    <t>Spanish</t>
  </si>
  <si>
    <t>Nicaragua, Leon</t>
  </si>
  <si>
    <t>Dancing</t>
  </si>
  <si>
    <t>Cannes</t>
  </si>
  <si>
    <t>Montpelier</t>
  </si>
  <si>
    <t>F2</t>
  </si>
  <si>
    <t>horse riding</t>
  </si>
  <si>
    <t>spacers, St Orens</t>
  </si>
  <si>
    <t>Auxerre, Benfica, Real Madrid</t>
  </si>
  <si>
    <t>national team, Toulouse</t>
  </si>
  <si>
    <t>Saumur</t>
  </si>
  <si>
    <t>ski, ping pong, windsurfing</t>
  </si>
  <si>
    <t>Pereira, Riscralda (Colombia)</t>
  </si>
  <si>
    <t>barca</t>
  </si>
  <si>
    <t>Varsovie (Poland)</t>
  </si>
  <si>
    <t>tennis, gymnastic, swimming</t>
  </si>
  <si>
    <t>Gymnastic</t>
  </si>
  <si>
    <t>Wolof</t>
  </si>
  <si>
    <t>Dakar (Senegal)</t>
  </si>
  <si>
    <t>Juventus Torino, Real Madrid</t>
  </si>
  <si>
    <t>Toulouse, all blacks</t>
  </si>
  <si>
    <t>swimming, cycling</t>
  </si>
  <si>
    <t>swimming, snowboard, surf</t>
  </si>
  <si>
    <t>Narbonne</t>
  </si>
  <si>
    <t>Lyon, nationa team</t>
  </si>
  <si>
    <t>France, all blacks</t>
  </si>
  <si>
    <t>0*</t>
  </si>
  <si>
    <t>Douai</t>
  </si>
  <si>
    <t>Lille</t>
  </si>
  <si>
    <t>F3</t>
  </si>
  <si>
    <t>Port au Prince (Haiti)</t>
  </si>
  <si>
    <t>fitness, aquagym, body combat</t>
  </si>
  <si>
    <t>Grenoble</t>
  </si>
  <si>
    <t>horse riding, walking</t>
  </si>
  <si>
    <t>Portugese</t>
  </si>
  <si>
    <t>Villiers sur Marne</t>
  </si>
  <si>
    <t>salsa</t>
  </si>
  <si>
    <t>danse</t>
  </si>
  <si>
    <t>Rennes</t>
  </si>
  <si>
    <t>badminton, handball</t>
  </si>
  <si>
    <t>REC, national team</t>
  </si>
  <si>
    <t>handball, karate, Taekwondo</t>
  </si>
  <si>
    <t>Paris, Toulouse</t>
  </si>
  <si>
    <t>Saint Denis</t>
  </si>
  <si>
    <t>Basketball, swimming</t>
  </si>
  <si>
    <t>Aurillac</t>
  </si>
  <si>
    <t>fitness, running</t>
  </si>
  <si>
    <t>Brive la Gaillarde</t>
  </si>
  <si>
    <t>ping pong, handball, badminton</t>
  </si>
  <si>
    <t>Brive</t>
  </si>
  <si>
    <t>F4</t>
  </si>
  <si>
    <t>Font-Romeu</t>
  </si>
  <si>
    <t>swimming, running</t>
  </si>
  <si>
    <t>USAP</t>
  </si>
  <si>
    <t>Chelsea, TFC</t>
  </si>
  <si>
    <t>Reims</t>
  </si>
  <si>
    <t>climbing, running</t>
  </si>
  <si>
    <t>Nantes</t>
  </si>
  <si>
    <t>handball, tennis, running</t>
  </si>
  <si>
    <t>boxing</t>
  </si>
  <si>
    <t>Dancing, basketball</t>
  </si>
  <si>
    <t>barca, France, Cameroun, Lyon, Toulouse</t>
  </si>
  <si>
    <t>surfing</t>
  </si>
  <si>
    <t>Gender</t>
  </si>
  <si>
    <t>Participation_date</t>
  </si>
  <si>
    <t>First_game</t>
  </si>
  <si>
    <t>Birth_year</t>
  </si>
  <si>
    <t>mother_tongue</t>
  </si>
  <si>
    <t>General_Info_Q1</t>
  </si>
  <si>
    <t>General_Info_Q2</t>
  </si>
  <si>
    <t>General_Info_Q3</t>
  </si>
  <si>
    <t>General_Info_Q4</t>
  </si>
  <si>
    <t>General_Info_Q5</t>
  </si>
  <si>
    <t>General_Info_Q6</t>
  </si>
  <si>
    <t>General_Info_Q71</t>
  </si>
  <si>
    <t>General_Info_Q72</t>
  </si>
  <si>
    <t>Volleyball_Q1</t>
  </si>
  <si>
    <t>Volleyball_Q2</t>
  </si>
  <si>
    <t>Volleyball_Q3</t>
  </si>
  <si>
    <t>Volleyball_Q4</t>
  </si>
  <si>
    <t>Volleyball_Q5</t>
  </si>
  <si>
    <t>Volleyball_Q6</t>
  </si>
  <si>
    <t>Volleyball_Q7</t>
  </si>
  <si>
    <t>Team_Q1</t>
  </si>
  <si>
    <t>Team_Q2</t>
  </si>
  <si>
    <t>Team_Q3</t>
  </si>
  <si>
    <t>Team_Q4</t>
  </si>
  <si>
    <t>Team_Q5_1</t>
  </si>
  <si>
    <t>Team_Q5_2</t>
  </si>
  <si>
    <t>Team_Q5_3</t>
  </si>
  <si>
    <t>Team_Q5_4</t>
  </si>
  <si>
    <t>Team_Q5_5</t>
  </si>
  <si>
    <t>Team_Q5_6</t>
  </si>
  <si>
    <t>Team_Q5_7</t>
  </si>
  <si>
    <t>Team_Q5_8</t>
  </si>
  <si>
    <t>Team_Q5_9</t>
  </si>
  <si>
    <t>Team_Q5_like1</t>
  </si>
  <si>
    <t>Team_Q5_like2</t>
  </si>
  <si>
    <t>Team_Q5_like3</t>
  </si>
  <si>
    <t>Team_Q5_like4</t>
  </si>
  <si>
    <t>Team_Q5_Ties1</t>
  </si>
  <si>
    <t>Team_Q5_Ties2</t>
  </si>
  <si>
    <t>Team_Q5_Ties3</t>
  </si>
  <si>
    <t>Team_Q5_Ties4</t>
  </si>
  <si>
    <t>Team_Q5_Ties5</t>
  </si>
  <si>
    <t>Team_Q5_Ties6</t>
  </si>
  <si>
    <t>Team_Q5_Ties7</t>
  </si>
  <si>
    <t>Team_Q5_Ties8</t>
  </si>
  <si>
    <t>Team_Q5_Ties9</t>
  </si>
  <si>
    <t>Team_Q6_1</t>
  </si>
  <si>
    <t>Team_Q6_2</t>
  </si>
  <si>
    <t>Team_Q6_3</t>
  </si>
  <si>
    <t>Team_Q6_4</t>
  </si>
  <si>
    <t>Team_Q6_5</t>
  </si>
  <si>
    <t>Team_Q6_6</t>
  </si>
  <si>
    <t>Team_Q6_7</t>
  </si>
  <si>
    <t>Team_Q6_8</t>
  </si>
  <si>
    <t>Team_Q6_9</t>
  </si>
  <si>
    <t>Team_Q6_like1</t>
  </si>
  <si>
    <t>Team_Q6_like2</t>
  </si>
  <si>
    <t>Team_Q6_like3</t>
  </si>
  <si>
    <t>Team_Q6_like4</t>
  </si>
  <si>
    <t>Team_Q56_B1</t>
  </si>
  <si>
    <t>Team_Q56_B2</t>
  </si>
  <si>
    <t>Team_Q56_B3</t>
  </si>
  <si>
    <t>Team_Q56_B4</t>
  </si>
  <si>
    <t>Team_Q56_B5</t>
  </si>
  <si>
    <t>Team_Q56_B6</t>
  </si>
  <si>
    <t>Team_Q56_B7</t>
  </si>
  <si>
    <t>Team_Q56_B8</t>
  </si>
  <si>
    <t>Team_Q56_B9</t>
  </si>
  <si>
    <t>Team_Q7_1</t>
  </si>
  <si>
    <t>Team_Q7_2</t>
  </si>
  <si>
    <t>Team_Q7_3</t>
  </si>
  <si>
    <t>Team_Q7_4</t>
  </si>
  <si>
    <t>Team_Q7_5</t>
  </si>
  <si>
    <t>Team_Q7_6</t>
  </si>
  <si>
    <t>Team_Q7_7</t>
  </si>
  <si>
    <t>Team_Q7_8</t>
  </si>
  <si>
    <t>Team_Q7_9</t>
  </si>
  <si>
    <t>T1_1_AB</t>
  </si>
  <si>
    <t>T1_2_AB</t>
  </si>
  <si>
    <t>V1_1_AB</t>
  </si>
  <si>
    <t>V1_2_AB</t>
  </si>
  <si>
    <t>S1_1_AB</t>
  </si>
  <si>
    <t>S1_2_AB</t>
  </si>
  <si>
    <t>T2_1_IN</t>
  </si>
  <si>
    <t>T2_1_AB</t>
  </si>
  <si>
    <t>T2_2_AB</t>
  </si>
  <si>
    <t>V2_1_IN</t>
  </si>
  <si>
    <t>V2_1_AB</t>
  </si>
  <si>
    <t>V2_2_AB</t>
  </si>
  <si>
    <t>S2_1_IN</t>
  </si>
  <si>
    <t>S2_1_AB</t>
  </si>
  <si>
    <t>S2_2_AB</t>
  </si>
  <si>
    <t>General_Info_Q1: "Have you ever participated to a experiment?"</t>
  </si>
  <si>
    <t>General_Info_Q2: "in general, do you think most people would take advantage of you if they had a chance, or do you think they would be fair?"</t>
  </si>
  <si>
    <t>General_Info_Q3: "would you say that, most of the time, people try to be helpful, or do they only act in their own interest?"</t>
  </si>
  <si>
    <t>General_Info_Q4: "in general, would you say that most people can be trusted, or should one always be prudent when it comes to interact with others?"</t>
  </si>
  <si>
    <t>General_Info_Q5: "which (French) political party do you intend to vote for in the next (French) election?"</t>
  </si>
  <si>
    <t>General_Info_Q6: "what religion do you identify with?"</t>
  </si>
  <si>
    <t>General Info_Q71: "how long have you been playing volleyball?"</t>
  </si>
  <si>
    <t>General Info_Q72: "On average, how many hours per week do you invest in your volleyball training outside of this training session?"</t>
  </si>
  <si>
    <t>Volleyball_Q3: "what other activities do you practice in club?"</t>
  </si>
  <si>
    <t>Volleyball_Q4: "what other sports do you practice?"</t>
  </si>
  <si>
    <t>Volleyball_Q5: "what volleyball team do you generally support?"</t>
  </si>
  <si>
    <t>Volleyball_Q6: "what football team do you generally support?"</t>
  </si>
  <si>
    <t>Volleyball_Q7: "what rugby team do you generally support?"</t>
  </si>
  <si>
    <t>Team_Q4: "ideally, in what type of team do you prefer to play?"</t>
  </si>
  <si>
    <t>Team_Q5_x: "indicate what you think about each of your teammates"</t>
  </si>
  <si>
    <t>Team_Q6_x: "indicate what you think each of your teammates think about you"</t>
  </si>
  <si>
    <t>Team_Q7_x: "indicate the ties that you think exist between your teammates, i.e., who is friend with whom?"</t>
  </si>
  <si>
    <t>High_G</t>
  </si>
  <si>
    <t>High_S</t>
  </si>
  <si>
    <t>T1_1_AB
V1_1_AB
S1_1_AB
T1_2_AB
V1_2_AB
S1_2_AB</t>
  </si>
  <si>
    <t>T2_1_IN
V2_1_IN
S2_1_IN</t>
  </si>
  <si>
    <t xml:space="preserve">T2_1_INAB
V2_1_INAB
S2_1_INAB
</t>
  </si>
  <si>
    <t>T2_1_AB
V2_1_AB
S2_1_AB
T2_2_AB
V2_2_AB
S2_2_AB</t>
  </si>
  <si>
    <t>T2_1_INA
V2_1_INA
S2_1_INA</t>
  </si>
  <si>
    <t>T2_1_INB
V2_1_INB
S2_1_INB</t>
  </si>
  <si>
    <t>T1_AA
V1_AA
S1_AA</t>
  </si>
  <si>
    <t>T1_BB
V1_BB
S1_BB</t>
  </si>
  <si>
    <t>T1_AB
V1_AB
S1_AB</t>
  </si>
  <si>
    <t>T1_BA
V1_BA
S1_BA</t>
  </si>
  <si>
    <t>T2_OUTA
V2_OUTA
S2_OUTA</t>
  </si>
  <si>
    <t>T2_OUTB
V2_OUTB
S2_OUTB</t>
  </si>
  <si>
    <t>T2_AA
V2_AA
S2_AA</t>
  </si>
  <si>
    <t>T2_BB
V2_BB
S2_BB</t>
  </si>
  <si>
    <t>T2_AB
V2_AB
S2_AB</t>
  </si>
  <si>
    <t>T2_BA
V2_BA
S2_BA</t>
  </si>
  <si>
    <t>Male = 1</t>
  </si>
  <si>
    <t>one shot = 1</t>
  </si>
  <si>
    <t>economics = 1</t>
  </si>
  <si>
    <t>French = 1</t>
  </si>
  <si>
    <t>No = 0</t>
  </si>
  <si>
    <t>Fair = 1</t>
  </si>
  <si>
    <t>Cooperate = 1</t>
  </si>
  <si>
    <t>Trust = 1</t>
  </si>
  <si>
    <t>Other = 0</t>
  </si>
  <si>
    <t>Toulouse = 0</t>
  </si>
  <si>
    <t>Big city = 1</t>
  </si>
  <si>
    <t>Nb of activities</t>
  </si>
  <si>
    <t>Nb of sports</t>
  </si>
  <si>
    <t>None = 0</t>
  </si>
  <si>
    <t>Best team = 0</t>
  </si>
  <si>
    <t>Dislike = 1</t>
  </si>
  <si>
    <t>Nb of connections with player x</t>
  </si>
  <si>
    <t>high group-connecteness = 1</t>
  </si>
  <si>
    <t>high self-connecteness = 1</t>
  </si>
  <si>
    <t>Select A = 1</t>
  </si>
  <si>
    <t>Select Out = 0</t>
  </si>
  <si>
    <t>Select Out = 1</t>
  </si>
  <si>
    <t>select IN+A = 1</t>
  </si>
  <si>
    <t>Select IN+B = 1</t>
  </si>
  <si>
    <t>Select A as player 1 and A as player 2 = 1</t>
  </si>
  <si>
    <t>Select B as player 1 and B as player 2 = 1</t>
  </si>
  <si>
    <t>Select A as player 1 and B as player 2 = 1</t>
  </si>
  <si>
    <t>Select B as player 1 and A as player 2 = 1</t>
  </si>
  <si>
    <t>Select Out as player 1 and A as player 2 = 1</t>
  </si>
  <si>
    <t>Select Out as player 1 and B as player 2 = 1</t>
  </si>
  <si>
    <t>Select In+A as player 1 and A as player 2 = 1</t>
  </si>
  <si>
    <t>Select In+B as player 1 and B as player 2 = 1</t>
  </si>
  <si>
    <t>Select In+A as player 1 and B as player 2 = 1</t>
  </si>
  <si>
    <t>Select In+B as player 1 and A as player 2 = 1</t>
  </si>
  <si>
    <t>Female = 2</t>
  </si>
  <si>
    <t>two stage = 2</t>
  </si>
  <si>
    <t>management = 2</t>
  </si>
  <si>
    <t>Foreigner = 2</t>
  </si>
  <si>
    <t>Yes = 1</t>
  </si>
  <si>
    <t>Unfair = 2</t>
  </si>
  <si>
    <t>Defect = 2</t>
  </si>
  <si>
    <t>Distrust = 2</t>
  </si>
  <si>
    <t>PCF = 1</t>
  </si>
  <si>
    <t>Buddhism = 1</t>
  </si>
  <si>
    <t>Southern France = 1</t>
  </si>
  <si>
    <t>Small city = 2</t>
  </si>
  <si>
    <t>Toulouse = 1</t>
  </si>
  <si>
    <t>Indifferent = 1</t>
  </si>
  <si>
    <t>Indifferent = 2</t>
  </si>
  <si>
    <t>low group-connectedness = 0</t>
  </si>
  <si>
    <t>low self-connectedness = 0</t>
  </si>
  <si>
    <t>Select B = 2</t>
  </si>
  <si>
    <t>Select In = 1</t>
  </si>
  <si>
    <t>Select IN+A = 2</t>
  </si>
  <si>
    <t>else = 0</t>
  </si>
  <si>
    <t>unknown = 0</t>
  </si>
  <si>
    <t>politics = 3</t>
  </si>
  <si>
    <t>Don't know = 0</t>
  </si>
  <si>
    <t>EELV = 2</t>
  </si>
  <si>
    <t>Catholicism = 2</t>
  </si>
  <si>
    <t>Northern France = 2</t>
  </si>
  <si>
    <t>Other = 2</t>
  </si>
  <si>
    <t>With friends = 2</t>
  </si>
  <si>
    <t>Like = 3</t>
  </si>
  <si>
    <t>Select IN+B = 3</t>
  </si>
  <si>
    <t>law = 4</t>
  </si>
  <si>
    <t>PS = 3</t>
  </si>
  <si>
    <t>Protestantism = 3</t>
  </si>
  <si>
    <t>Eastern France = 3</t>
  </si>
  <si>
    <t>Like a lot = 4</t>
  </si>
  <si>
    <t>computer science = 5</t>
  </si>
  <si>
    <t>MoDem = 4</t>
  </si>
  <si>
    <t>Judaism = 4</t>
  </si>
  <si>
    <t>Western France = 4</t>
  </si>
  <si>
    <t>AES (business administration) = 6</t>
  </si>
  <si>
    <t>UMP = 5</t>
  </si>
  <si>
    <t>Islam = 5</t>
  </si>
  <si>
    <t>Center of France = 5</t>
  </si>
  <si>
    <t>Europe = 6</t>
  </si>
  <si>
    <t>T1_1: interaction with Teammate, Baseline game, Player 1</t>
  </si>
  <si>
    <t>Rest of the world = 7</t>
  </si>
  <si>
    <t>V1_1: interaction with Volleyball club member, Baseline game, Player 1</t>
  </si>
  <si>
    <t>S1_1: interaction with Stranger, Baseline game, Player 1</t>
  </si>
  <si>
    <t>T1_2: interaction with Teammate, Baseline game, Player 2</t>
  </si>
  <si>
    <t>V1_2: interaction with Volleyball club member, Baseline game, Player 2</t>
  </si>
  <si>
    <t>S1_2: interaction with Stranger, Baseline Game, Player 2</t>
  </si>
  <si>
    <t>T2_1: interaction with Teammate, Entrance game, Player 1</t>
  </si>
  <si>
    <t>V2_1: interaction with Volleyball club member, Entrance game, Player 1</t>
  </si>
  <si>
    <t>S2_1: interaction with Stranger, Entrance game, Player 1</t>
  </si>
  <si>
    <t>T2_2: interaction with Teammate, Entrance game, Player 2</t>
  </si>
  <si>
    <t>V2_2: interaction with Volleyball club member, Entrance game, Player 2</t>
  </si>
  <si>
    <t>S2_2: Interaction with Stranger, Entrance game, Player 2</t>
  </si>
  <si>
    <t>Student</t>
  </si>
  <si>
    <t>group_connect</t>
  </si>
  <si>
    <t>self_conenct</t>
  </si>
  <si>
    <t>T2_1_INA</t>
  </si>
  <si>
    <t>T2_1_INB</t>
  </si>
  <si>
    <t>T2_1_INAB</t>
  </si>
  <si>
    <t>V2_1_INA</t>
  </si>
  <si>
    <t>V2_1_INB</t>
  </si>
  <si>
    <t>V2_1_INAB</t>
  </si>
  <si>
    <t>S2_1_INA</t>
  </si>
  <si>
    <t>S2_1_INB</t>
  </si>
  <si>
    <t>S2_1_INAB</t>
  </si>
  <si>
    <t>T1_AA</t>
  </si>
  <si>
    <t>T1_BB</t>
  </si>
  <si>
    <t>T1_AB</t>
  </si>
  <si>
    <t>T1_BA</t>
  </si>
  <si>
    <t>V1_AA</t>
  </si>
  <si>
    <t>V1_BB</t>
  </si>
  <si>
    <t>V1_AB</t>
  </si>
  <si>
    <t>V1_BA</t>
  </si>
  <si>
    <t>S1_AA</t>
  </si>
  <si>
    <t>S1_BB</t>
  </si>
  <si>
    <t>S1_AB</t>
  </si>
  <si>
    <t>S1_BA</t>
  </si>
  <si>
    <t>T2_OUTA</t>
  </si>
  <si>
    <t>T2_OUTB</t>
  </si>
  <si>
    <t>T2_AA</t>
  </si>
  <si>
    <t>T2_BB</t>
  </si>
  <si>
    <t>T2_AB</t>
  </si>
  <si>
    <t>T2_BA</t>
  </si>
  <si>
    <t>V2_OUTA</t>
  </si>
  <si>
    <t>V2_OUTB</t>
  </si>
  <si>
    <t>V2_AA</t>
  </si>
  <si>
    <t>V2_BB</t>
  </si>
  <si>
    <t>V2_AB</t>
  </si>
  <si>
    <t>V2_BA</t>
  </si>
  <si>
    <t>S2_OUTA</t>
  </si>
  <si>
    <t>S2_OUTB</t>
  </si>
  <si>
    <t>S2_AA</t>
  </si>
  <si>
    <t>S2_BB</t>
  </si>
  <si>
    <t>S2_AB</t>
  </si>
  <si>
    <t>S2_BA</t>
  </si>
  <si>
    <t>others_subj_index_avg</t>
  </si>
  <si>
    <t>like_a_lot</t>
  </si>
  <si>
    <t>All</t>
  </si>
  <si>
    <t>Team</t>
  </si>
  <si>
    <t>Club</t>
  </si>
  <si>
    <t>University</t>
  </si>
  <si>
    <t>(A,A)</t>
  </si>
  <si>
    <t>(A,B)</t>
  </si>
  <si>
    <t>(B,A)</t>
  </si>
  <si>
    <t>(B,B)</t>
  </si>
  <si>
    <t>(In, A, A)</t>
  </si>
  <si>
    <t>(In, A, B)</t>
  </si>
  <si>
    <t>(In, B, A)</t>
  </si>
  <si>
    <t>(In, B, B)</t>
  </si>
  <si>
    <t>(Out, A)</t>
  </si>
  <si>
    <t>(Out, B)</t>
  </si>
  <si>
    <t>Team treatment</t>
  </si>
  <si>
    <r>
      <rPr>
        <sz val="11"/>
        <color theme="1"/>
        <rFont val="宋体"/>
        <charset val="134"/>
        <scheme val="minor"/>
      </rPr>
      <t>H</t>
    </r>
    <r>
      <rPr>
        <vertAlign val="superscript"/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 xml:space="preserve"> (30 obs.)</t>
    </r>
  </si>
  <si>
    <r>
      <rPr>
        <sz val="11"/>
        <color theme="1"/>
        <rFont val="宋体"/>
        <charset val="134"/>
        <scheme val="minor"/>
      </rPr>
      <t>L</t>
    </r>
    <r>
      <rPr>
        <vertAlign val="superscript"/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 xml:space="preserve"> (39 obs.)</t>
    </r>
  </si>
  <si>
    <r>
      <rPr>
        <sz val="11"/>
        <color theme="1"/>
        <rFont val="宋体"/>
        <charset val="134"/>
        <scheme val="minor"/>
      </rPr>
      <t>H</t>
    </r>
    <r>
      <rPr>
        <vertAlign val="superscript"/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 xml:space="preserve"> (38 obs.)</t>
    </r>
  </si>
  <si>
    <r>
      <rPr>
        <sz val="11"/>
        <color theme="1"/>
        <rFont val="宋体"/>
        <charset val="134"/>
        <scheme val="minor"/>
      </rPr>
      <t>L</t>
    </r>
    <r>
      <rPr>
        <vertAlign val="superscript"/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 xml:space="preserve"> (31 obs.)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</si>
</sst>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4" borderId="1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0" fontId="10" fillId="6" borderId="15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0" xfId="0" applyFill="1"/>
    <xf numFmtId="0" fontId="0" fillId="2" borderId="0" xfId="0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 wrapText="1"/>
    </xf>
    <xf numFmtId="0" fontId="0" fillId="0" borderId="9" xfId="0" applyNumberFormat="1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veil!$D$19</c:f>
              <c:strCache>
                <c:ptCount val="1"/>
                <c:pt idx="0">
                  <c:v>HS (38 obs.)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veil!$A$20:$A$23</c:f>
              <c:strCache>
                <c:ptCount val="4"/>
                <c:pt idx="0">
                  <c:v>(A,A)</c:v>
                </c:pt>
                <c:pt idx="1">
                  <c:v>(A,B)</c:v>
                </c:pt>
                <c:pt idx="2">
                  <c:v>(B,A)</c:v>
                </c:pt>
                <c:pt idx="3">
                  <c:v>(B,B)</c:v>
                </c:pt>
              </c:strCache>
            </c:strRef>
          </c:cat>
          <c:val>
            <c:numRef>
              <c:f>veil!$D$20:$D$23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13</c:v>
                </c:pt>
                <c:pt idx="3">
                  <c:v>63</c:v>
                </c:pt>
              </c:numCache>
            </c:numRef>
          </c:val>
        </c:ser>
        <c:ser>
          <c:idx val="2"/>
          <c:order val="1"/>
          <c:tx>
            <c:strRef>
              <c:f>veil!$E$19</c:f>
              <c:strCache>
                <c:ptCount val="1"/>
                <c:pt idx="0">
                  <c:v>LS (31 obs.)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veil!$A$20:$A$23</c:f>
              <c:strCache>
                <c:ptCount val="4"/>
                <c:pt idx="0">
                  <c:v>(A,A)</c:v>
                </c:pt>
                <c:pt idx="1">
                  <c:v>(A,B)</c:v>
                </c:pt>
                <c:pt idx="2">
                  <c:v>(B,A)</c:v>
                </c:pt>
                <c:pt idx="3">
                  <c:v>(B,B)</c:v>
                </c:pt>
              </c:strCache>
            </c:strRef>
          </c:cat>
          <c:val>
            <c:numRef>
              <c:f>veil!$E$20:$E$23</c:f>
              <c:numCache>
                <c:formatCode>General</c:formatCode>
                <c:ptCount val="4"/>
                <c:pt idx="0">
                  <c:v>19</c:v>
                </c:pt>
                <c:pt idx="1">
                  <c:v>23</c:v>
                </c:pt>
                <c:pt idx="2">
                  <c:v>6</c:v>
                </c:pt>
                <c:pt idx="3">
                  <c:v>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3659320"/>
        <c:axId val="2135715832"/>
      </c:barChart>
      <c:catAx>
        <c:axId val="206365932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Strategies</a:t>
                </a:r>
                <a:endParaRPr lang="fr-FR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5715832"/>
        <c:crosses val="autoZero"/>
        <c:auto val="1"/>
        <c:lblAlgn val="ctr"/>
        <c:lblOffset val="100"/>
        <c:noMultiLvlLbl val="0"/>
      </c:catAx>
      <c:valAx>
        <c:axId val="2135715832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Proportion</a:t>
                </a:r>
                <a:r>
                  <a:rPr lang="fr-FR" baseline="0"/>
                  <a:t> (%)</a:t>
                </a:r>
                <a:endParaRPr lang="fr-FR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6365932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10cd50-9136-49aa-b05a-a99378ef903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veil!$B$19</c:f>
              <c:strCache>
                <c:ptCount val="1"/>
                <c:pt idx="0">
                  <c:v>HG (30 obs.)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veil!$A$20:$A$23</c:f>
              <c:strCache>
                <c:ptCount val="4"/>
                <c:pt idx="0">
                  <c:v>(A,A)</c:v>
                </c:pt>
                <c:pt idx="1">
                  <c:v>(A,B)</c:v>
                </c:pt>
                <c:pt idx="2">
                  <c:v>(B,A)</c:v>
                </c:pt>
                <c:pt idx="3">
                  <c:v>(B,B)</c:v>
                </c:pt>
              </c:strCache>
            </c:strRef>
          </c:cat>
          <c:val>
            <c:numRef>
              <c:f>veil!$B$20:$B$23</c:f>
              <c:numCache>
                <c:formatCode>General</c:formatCode>
                <c:ptCount val="4"/>
                <c:pt idx="0">
                  <c:v>7</c:v>
                </c:pt>
                <c:pt idx="1">
                  <c:v>10</c:v>
                </c:pt>
                <c:pt idx="2">
                  <c:v>10</c:v>
                </c:pt>
                <c:pt idx="3">
                  <c:v>73</c:v>
                </c:pt>
              </c:numCache>
            </c:numRef>
          </c:val>
        </c:ser>
        <c:ser>
          <c:idx val="2"/>
          <c:order val="1"/>
          <c:tx>
            <c:strRef>
              <c:f>veil!$C$19</c:f>
              <c:strCache>
                <c:ptCount val="1"/>
                <c:pt idx="0">
                  <c:v>LG (39 obs.)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veil!$A$20:$A$23</c:f>
              <c:strCache>
                <c:ptCount val="4"/>
                <c:pt idx="0">
                  <c:v>(A,A)</c:v>
                </c:pt>
                <c:pt idx="1">
                  <c:v>(A,B)</c:v>
                </c:pt>
                <c:pt idx="2">
                  <c:v>(B,A)</c:v>
                </c:pt>
                <c:pt idx="3">
                  <c:v>(B,B)</c:v>
                </c:pt>
              </c:strCache>
            </c:strRef>
          </c:cat>
          <c:val>
            <c:numRef>
              <c:f>veil!$C$20:$C$23</c:f>
              <c:numCache>
                <c:formatCode>General</c:formatCode>
                <c:ptCount val="4"/>
                <c:pt idx="0">
                  <c:v>18</c:v>
                </c:pt>
                <c:pt idx="1">
                  <c:v>26</c:v>
                </c:pt>
                <c:pt idx="2">
                  <c:v>10</c:v>
                </c:pt>
                <c:pt idx="3">
                  <c:v>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5615560"/>
        <c:axId val="2082934824"/>
      </c:barChart>
      <c:catAx>
        <c:axId val="213561556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Strategies</a:t>
                </a:r>
                <a:endParaRPr lang="fr-FR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82934824"/>
        <c:crosses val="autoZero"/>
        <c:auto val="1"/>
        <c:lblAlgn val="ctr"/>
        <c:lblOffset val="100"/>
        <c:noMultiLvlLbl val="0"/>
      </c:catAx>
      <c:valAx>
        <c:axId val="208293482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Proportion</a:t>
                </a:r>
                <a:r>
                  <a:rPr lang="fr-FR" baseline="0"/>
                  <a:t> (%)</a:t>
                </a:r>
                <a:endParaRPr lang="fr-FR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561556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88f520-8346-441c-b0e6-031d6b3483a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veil!$D$19</c:f>
              <c:strCache>
                <c:ptCount val="1"/>
                <c:pt idx="0">
                  <c:v>HS (38 obs.)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veil!$A$36:$A$41</c:f>
              <c:strCache>
                <c:ptCount val="6"/>
                <c:pt idx="0">
                  <c:v>(In, A, A)</c:v>
                </c:pt>
                <c:pt idx="1">
                  <c:v>(In, A, B)</c:v>
                </c:pt>
                <c:pt idx="2">
                  <c:v>(In, B, A)</c:v>
                </c:pt>
                <c:pt idx="3">
                  <c:v>(In, B, B)</c:v>
                </c:pt>
                <c:pt idx="4">
                  <c:v>(Out, A)</c:v>
                </c:pt>
                <c:pt idx="5">
                  <c:v>(Out, B)</c:v>
                </c:pt>
              </c:strCache>
            </c:strRef>
          </c:cat>
          <c:val>
            <c:numRef>
              <c:f>veil!$D$36:$D$41</c:f>
              <c:numCache>
                <c:formatCode>General</c:formatCode>
                <c:ptCount val="6"/>
                <c:pt idx="0">
                  <c:v>8</c:v>
                </c:pt>
                <c:pt idx="1">
                  <c:v>11</c:v>
                </c:pt>
                <c:pt idx="2">
                  <c:v>3</c:v>
                </c:pt>
                <c:pt idx="3">
                  <c:v>47</c:v>
                </c:pt>
                <c:pt idx="4">
                  <c:v>13</c:v>
                </c:pt>
                <c:pt idx="5">
                  <c:v>18</c:v>
                </c:pt>
              </c:numCache>
            </c:numRef>
          </c:val>
        </c:ser>
        <c:ser>
          <c:idx val="2"/>
          <c:order val="1"/>
          <c:tx>
            <c:strRef>
              <c:f>veil!$E$19</c:f>
              <c:strCache>
                <c:ptCount val="1"/>
                <c:pt idx="0">
                  <c:v>LS (31 obs.)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veil!$A$36:$A$41</c:f>
              <c:strCache>
                <c:ptCount val="6"/>
                <c:pt idx="0">
                  <c:v>(In, A, A)</c:v>
                </c:pt>
                <c:pt idx="1">
                  <c:v>(In, A, B)</c:v>
                </c:pt>
                <c:pt idx="2">
                  <c:v>(In, B, A)</c:v>
                </c:pt>
                <c:pt idx="3">
                  <c:v>(In, B, B)</c:v>
                </c:pt>
                <c:pt idx="4">
                  <c:v>(Out, A)</c:v>
                </c:pt>
                <c:pt idx="5">
                  <c:v>(Out, B)</c:v>
                </c:pt>
              </c:strCache>
            </c:strRef>
          </c:cat>
          <c:val>
            <c:numRef>
              <c:f>veil!$E$36:$E$41</c:f>
              <c:numCache>
                <c:formatCode>General</c:formatCode>
                <c:ptCount val="6"/>
                <c:pt idx="0">
                  <c:v>16</c:v>
                </c:pt>
                <c:pt idx="1">
                  <c:v>13</c:v>
                </c:pt>
                <c:pt idx="2">
                  <c:v>6</c:v>
                </c:pt>
                <c:pt idx="3">
                  <c:v>19</c:v>
                </c:pt>
                <c:pt idx="4">
                  <c:v>0</c:v>
                </c:pt>
                <c:pt idx="5">
                  <c:v>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5121656"/>
        <c:axId val="2135127128"/>
      </c:barChart>
      <c:catAx>
        <c:axId val="21351216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Strategies</a:t>
                </a:r>
                <a:endParaRPr lang="fr-FR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5127128"/>
        <c:crosses val="autoZero"/>
        <c:auto val="1"/>
        <c:lblAlgn val="ctr"/>
        <c:lblOffset val="100"/>
        <c:noMultiLvlLbl val="0"/>
      </c:catAx>
      <c:valAx>
        <c:axId val="213512712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Proportion</a:t>
                </a:r>
                <a:r>
                  <a:rPr lang="fr-FR" baseline="0"/>
                  <a:t> (%)</a:t>
                </a:r>
                <a:endParaRPr lang="fr-FR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512165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958c37-ddf6-4533-819a-cd67581a8d4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veil!$B$19</c:f>
              <c:strCache>
                <c:ptCount val="1"/>
                <c:pt idx="0">
                  <c:v>HG (30 obs.)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veil!$A$36:$A$41</c:f>
              <c:strCache>
                <c:ptCount val="6"/>
                <c:pt idx="0">
                  <c:v>(In, A, A)</c:v>
                </c:pt>
                <c:pt idx="1">
                  <c:v>(In, A, B)</c:v>
                </c:pt>
                <c:pt idx="2">
                  <c:v>(In, B, A)</c:v>
                </c:pt>
                <c:pt idx="3">
                  <c:v>(In, B, B)</c:v>
                </c:pt>
                <c:pt idx="4">
                  <c:v>(Out, A)</c:v>
                </c:pt>
                <c:pt idx="5">
                  <c:v>(Out, B)</c:v>
                </c:pt>
              </c:strCache>
            </c:strRef>
          </c:cat>
          <c:val>
            <c:numRef>
              <c:f>veil!$B$36:$B$41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0</c:v>
                </c:pt>
                <c:pt idx="3">
                  <c:v>57</c:v>
                </c:pt>
                <c:pt idx="4">
                  <c:v>3</c:v>
                </c:pt>
                <c:pt idx="5">
                  <c:v>27</c:v>
                </c:pt>
              </c:numCache>
            </c:numRef>
          </c:val>
        </c:ser>
        <c:ser>
          <c:idx val="2"/>
          <c:order val="1"/>
          <c:tx>
            <c:strRef>
              <c:f>veil!$C$19</c:f>
              <c:strCache>
                <c:ptCount val="1"/>
                <c:pt idx="0">
                  <c:v>LG (39 obs.)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veil!$A$36:$A$41</c:f>
              <c:strCache>
                <c:ptCount val="6"/>
                <c:pt idx="0">
                  <c:v>(In, A, A)</c:v>
                </c:pt>
                <c:pt idx="1">
                  <c:v>(In, A, B)</c:v>
                </c:pt>
                <c:pt idx="2">
                  <c:v>(In, B, A)</c:v>
                </c:pt>
                <c:pt idx="3">
                  <c:v>(In, B, B)</c:v>
                </c:pt>
                <c:pt idx="4">
                  <c:v>(Out, A)</c:v>
                </c:pt>
                <c:pt idx="5">
                  <c:v>(Out, B)</c:v>
                </c:pt>
              </c:strCache>
            </c:strRef>
          </c:cat>
          <c:val>
            <c:numRef>
              <c:f>veil!$C$36:$C$41</c:f>
              <c:numCache>
                <c:formatCode>General</c:formatCode>
                <c:ptCount val="6"/>
                <c:pt idx="0">
                  <c:v>15</c:v>
                </c:pt>
                <c:pt idx="1">
                  <c:v>15</c:v>
                </c:pt>
                <c:pt idx="2">
                  <c:v>8</c:v>
                </c:pt>
                <c:pt idx="3">
                  <c:v>18</c:v>
                </c:pt>
                <c:pt idx="4">
                  <c:v>10</c:v>
                </c:pt>
                <c:pt idx="5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5845608"/>
        <c:axId val="2082985816"/>
      </c:barChart>
      <c:catAx>
        <c:axId val="21358456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Strategies</a:t>
                </a:r>
                <a:endParaRPr lang="fr-FR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82985816"/>
        <c:crosses val="autoZero"/>
        <c:auto val="1"/>
        <c:lblAlgn val="ctr"/>
        <c:lblOffset val="100"/>
        <c:noMultiLvlLbl val="0"/>
      </c:catAx>
      <c:valAx>
        <c:axId val="2082985816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Proportion</a:t>
                </a:r>
                <a:r>
                  <a:rPr lang="fr-FR" baseline="0"/>
                  <a:t> (%)</a:t>
                </a:r>
                <a:endParaRPr lang="fr-FR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584560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bce2eb-09c8-4f42-bded-45c4196523d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581025</xdr:colOff>
      <xdr:row>14</xdr:row>
      <xdr:rowOff>19050</xdr:rowOff>
    </xdr:from>
    <xdr:to>
      <xdr:col>13</xdr:col>
      <xdr:colOff>276225</xdr:colOff>
      <xdr:row>29</xdr:row>
      <xdr:rowOff>101600</xdr:rowOff>
    </xdr:to>
    <xdr:graphicFrame>
      <xdr:nvGraphicFramePr>
        <xdr:cNvPr id="2" name="Chart 1"/>
        <xdr:cNvGraphicFramePr/>
      </xdr:nvGraphicFramePr>
      <xdr:xfrm>
        <a:off x="3968750" y="2508250"/>
        <a:ext cx="4632960" cy="2730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565150</xdr:colOff>
      <xdr:row>29</xdr:row>
      <xdr:rowOff>60324</xdr:rowOff>
    </xdr:from>
    <xdr:to>
      <xdr:col>13</xdr:col>
      <xdr:colOff>279400</xdr:colOff>
      <xdr:row>44</xdr:row>
      <xdr:rowOff>63499</xdr:rowOff>
    </xdr:to>
    <xdr:graphicFrame>
      <xdr:nvGraphicFramePr>
        <xdr:cNvPr id="3" name="Chart 2"/>
        <xdr:cNvGraphicFramePr/>
      </xdr:nvGraphicFramePr>
      <xdr:xfrm>
        <a:off x="3952875" y="5196840"/>
        <a:ext cx="4652010" cy="2670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466724</xdr:colOff>
      <xdr:row>14</xdr:row>
      <xdr:rowOff>6350</xdr:rowOff>
    </xdr:from>
    <xdr:to>
      <xdr:col>21</xdr:col>
      <xdr:colOff>177799</xdr:colOff>
      <xdr:row>29</xdr:row>
      <xdr:rowOff>50800</xdr:rowOff>
    </xdr:to>
    <xdr:graphicFrame>
      <xdr:nvGraphicFramePr>
        <xdr:cNvPr id="8" name="Chart 7"/>
        <xdr:cNvGraphicFramePr/>
      </xdr:nvGraphicFramePr>
      <xdr:xfrm>
        <a:off x="8791575" y="2495550"/>
        <a:ext cx="4648835" cy="269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469900</xdr:colOff>
      <xdr:row>29</xdr:row>
      <xdr:rowOff>60325</xdr:rowOff>
    </xdr:from>
    <xdr:to>
      <xdr:col>21</xdr:col>
      <xdr:colOff>184150</xdr:colOff>
      <xdr:row>44</xdr:row>
      <xdr:rowOff>66675</xdr:rowOff>
    </xdr:to>
    <xdr:graphicFrame>
      <xdr:nvGraphicFramePr>
        <xdr:cNvPr id="9" name="Chart 8"/>
        <xdr:cNvGraphicFramePr/>
      </xdr:nvGraphicFramePr>
      <xdr:xfrm>
        <a:off x="8795385" y="5197475"/>
        <a:ext cx="4652010" cy="267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P71"/>
  <sheetViews>
    <sheetView tabSelected="1" workbookViewId="0">
      <pane xSplit="2" ySplit="1" topLeftCell="C44" activePane="bottomRight" state="frozen"/>
      <selection/>
      <selection pane="topRight"/>
      <selection pane="bottomLeft"/>
      <selection pane="bottomRight" activeCell="A73" sqref="A73"/>
    </sheetView>
  </sheetViews>
  <sheetFormatPr defaultColWidth="8.83636363636364" defaultRowHeight="14"/>
  <cols>
    <col min="1" max="2" width="8.83636363636364" style="1"/>
    <col min="3" max="3" width="16.8363636363636" style="1" customWidth="1"/>
    <col min="4" max="4" width="10.1636363636364" style="1" customWidth="1"/>
    <col min="5" max="5" width="8.83636363636364" style="1"/>
    <col min="6" max="6" width="12.6636363636364" style="1" customWidth="1"/>
    <col min="7" max="7" width="14.5" style="1" customWidth="1"/>
    <col min="8" max="13" width="15" style="1" customWidth="1"/>
    <col min="14" max="14" width="27.1636363636364" style="1" customWidth="1"/>
    <col min="15" max="16" width="13.5" style="1" customWidth="1"/>
    <col min="17" max="17" width="29" style="1" customWidth="1"/>
    <col min="18" max="18" width="49" style="1" customWidth="1"/>
    <col min="19" max="19" width="24.8363636363636" style="1" customWidth="1"/>
    <col min="20" max="20" width="38" style="1" customWidth="1"/>
    <col min="21" max="21" width="28.3363636363636" style="1" customWidth="1"/>
    <col min="22" max="24" width="8.83636363636364" style="1"/>
    <col min="25" max="26" width="10.6636363636364" style="1" customWidth="1"/>
    <col min="27" max="43" width="11" style="1" customWidth="1"/>
    <col min="44" max="79" width="12" style="1" customWidth="1"/>
    <col min="80" max="81" width="21" style="41" customWidth="1"/>
    <col min="82" max="83" width="22" style="41" customWidth="1"/>
    <col min="84" max="85" width="23.5" style="41" customWidth="1"/>
    <col min="86" max="86" width="19.5" style="42" customWidth="1"/>
    <col min="87" max="88" width="21" style="42" customWidth="1"/>
    <col min="89" max="89" width="20.3363636363636" style="42" customWidth="1"/>
    <col min="90" max="91" width="22" style="42" customWidth="1"/>
    <col min="92" max="92" width="22.1636363636364" style="42" customWidth="1"/>
    <col min="93" max="94" width="23.6636363636364" style="42" customWidth="1"/>
    <col min="95" max="16384" width="8.83636363636364" style="1"/>
  </cols>
  <sheetData>
    <row r="1" spans="1:94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43" t="s">
        <v>79</v>
      </c>
      <c r="CC1" s="43" t="s">
        <v>80</v>
      </c>
      <c r="CD1" s="43" t="s">
        <v>81</v>
      </c>
      <c r="CE1" s="43" t="s">
        <v>82</v>
      </c>
      <c r="CF1" s="43" t="s">
        <v>83</v>
      </c>
      <c r="CG1" s="43" t="s">
        <v>84</v>
      </c>
      <c r="CH1" s="44" t="s">
        <v>85</v>
      </c>
      <c r="CI1" s="44" t="s">
        <v>79</v>
      </c>
      <c r="CJ1" s="44" t="s">
        <v>80</v>
      </c>
      <c r="CK1" s="44" t="s">
        <v>86</v>
      </c>
      <c r="CL1" s="44" t="s">
        <v>81</v>
      </c>
      <c r="CM1" s="44" t="s">
        <v>82</v>
      </c>
      <c r="CN1" s="44" t="s">
        <v>87</v>
      </c>
      <c r="CO1" s="44" t="s">
        <v>88</v>
      </c>
      <c r="CP1" s="44" t="s">
        <v>89</v>
      </c>
    </row>
    <row r="2" spans="1:94">
      <c r="A2" s="4" t="s">
        <v>90</v>
      </c>
      <c r="B2" s="4">
        <v>1</v>
      </c>
      <c r="C2" s="23">
        <v>40876</v>
      </c>
      <c r="D2" s="29" t="s">
        <v>91</v>
      </c>
      <c r="E2" s="4">
        <v>1991</v>
      </c>
      <c r="F2" s="4" t="s">
        <v>92</v>
      </c>
      <c r="G2" s="4" t="s">
        <v>93</v>
      </c>
      <c r="H2" s="4" t="s">
        <v>94</v>
      </c>
      <c r="I2" s="4" t="s">
        <v>95</v>
      </c>
      <c r="J2" s="45" t="s">
        <v>96</v>
      </c>
      <c r="K2" s="45" t="s">
        <v>97</v>
      </c>
      <c r="L2" s="4" t="s">
        <v>98</v>
      </c>
      <c r="M2" s="4" t="s">
        <v>99</v>
      </c>
      <c r="N2" s="4" t="s">
        <v>100</v>
      </c>
      <c r="O2" s="4">
        <v>8</v>
      </c>
      <c r="P2" s="4">
        <v>10</v>
      </c>
      <c r="Q2" s="4" t="s">
        <v>101</v>
      </c>
      <c r="R2" s="4" t="s">
        <v>102</v>
      </c>
      <c r="S2" s="4" t="s">
        <v>103</v>
      </c>
      <c r="T2" s="4" t="s">
        <v>104</v>
      </c>
      <c r="U2" s="4" t="s">
        <v>105</v>
      </c>
      <c r="V2" s="4">
        <v>2</v>
      </c>
      <c r="W2" s="4">
        <v>2</v>
      </c>
      <c r="X2" s="4">
        <v>8</v>
      </c>
      <c r="Y2" s="4" t="s">
        <v>106</v>
      </c>
      <c r="Z2" s="4" t="s">
        <v>101</v>
      </c>
      <c r="AA2" s="4" t="s">
        <v>107</v>
      </c>
      <c r="AB2" s="4" t="s">
        <v>107</v>
      </c>
      <c r="AC2" s="4" t="s">
        <v>107</v>
      </c>
      <c r="AD2" s="4" t="s">
        <v>108</v>
      </c>
      <c r="AE2" s="4" t="s">
        <v>107</v>
      </c>
      <c r="AF2" s="4" t="s">
        <v>108</v>
      </c>
      <c r="AG2" s="4" t="s">
        <v>108</v>
      </c>
      <c r="AH2" s="4" t="s">
        <v>101</v>
      </c>
      <c r="AI2" s="4" t="s">
        <v>101</v>
      </c>
      <c r="AJ2" s="4" t="s">
        <v>107</v>
      </c>
      <c r="AK2" s="4" t="s">
        <v>107</v>
      </c>
      <c r="AL2" s="4" t="s">
        <v>107</v>
      </c>
      <c r="AM2" s="4" t="s">
        <v>108</v>
      </c>
      <c r="AN2" s="4" t="s">
        <v>107</v>
      </c>
      <c r="AO2" s="4" t="s">
        <v>108</v>
      </c>
      <c r="AP2" s="4" t="s">
        <v>108</v>
      </c>
      <c r="AQ2" s="4" t="s">
        <v>101</v>
      </c>
      <c r="AR2" s="4" t="s">
        <v>101</v>
      </c>
      <c r="AS2" s="4" t="s">
        <v>101</v>
      </c>
      <c r="AT2" s="4" t="s">
        <v>101</v>
      </c>
      <c r="AU2" s="4" t="s">
        <v>101</v>
      </c>
      <c r="AV2" s="4" t="s">
        <v>101</v>
      </c>
      <c r="AW2" s="4" t="s">
        <v>101</v>
      </c>
      <c r="AX2" s="4" t="s">
        <v>101</v>
      </c>
      <c r="AY2" s="4" t="s">
        <v>101</v>
      </c>
      <c r="AZ2" s="4">
        <v>1</v>
      </c>
      <c r="BA2" s="4">
        <v>0</v>
      </c>
      <c r="BB2" s="4">
        <v>0</v>
      </c>
      <c r="BC2" s="4">
        <v>1</v>
      </c>
      <c r="BD2" s="4">
        <v>0</v>
      </c>
      <c r="BE2" s="4">
        <v>1</v>
      </c>
      <c r="BF2" s="4" t="s">
        <v>101</v>
      </c>
      <c r="BG2" s="4">
        <v>1</v>
      </c>
      <c r="BH2" s="4">
        <v>1</v>
      </c>
      <c r="BI2" s="4">
        <v>1</v>
      </c>
      <c r="BJ2" s="4">
        <v>1</v>
      </c>
      <c r="BK2" s="4">
        <v>1</v>
      </c>
      <c r="BL2" s="4" t="s">
        <v>101</v>
      </c>
      <c r="BM2" s="4">
        <v>1</v>
      </c>
      <c r="BN2" s="4">
        <v>0</v>
      </c>
      <c r="BO2" s="4">
        <v>0</v>
      </c>
      <c r="BP2" s="4">
        <v>0</v>
      </c>
      <c r="BQ2" s="4" t="s">
        <v>101</v>
      </c>
      <c r="BR2" s="4">
        <v>0</v>
      </c>
      <c r="BS2" s="4">
        <v>1</v>
      </c>
      <c r="BT2" s="4">
        <v>0</v>
      </c>
      <c r="BU2" s="4" t="s">
        <v>101</v>
      </c>
      <c r="BV2" s="4">
        <v>0</v>
      </c>
      <c r="BW2" s="4">
        <v>1</v>
      </c>
      <c r="BX2" s="4" t="s">
        <v>101</v>
      </c>
      <c r="BY2" s="4">
        <v>0</v>
      </c>
      <c r="BZ2" s="4" t="s">
        <v>101</v>
      </c>
      <c r="CA2" s="4" t="s">
        <v>101</v>
      </c>
      <c r="CB2" s="19" t="s">
        <v>109</v>
      </c>
      <c r="CC2" s="19" t="s">
        <v>109</v>
      </c>
      <c r="CD2" s="19" t="s">
        <v>109</v>
      </c>
      <c r="CE2" s="19" t="s">
        <v>109</v>
      </c>
      <c r="CF2" s="19" t="s">
        <v>109</v>
      </c>
      <c r="CG2" s="19" t="s">
        <v>109</v>
      </c>
      <c r="CH2" s="46" t="s">
        <v>110</v>
      </c>
      <c r="CI2" s="46" t="s">
        <v>109</v>
      </c>
      <c r="CJ2" s="46" t="s">
        <v>109</v>
      </c>
      <c r="CK2" s="46" t="s">
        <v>110</v>
      </c>
      <c r="CL2" s="46" t="s">
        <v>111</v>
      </c>
      <c r="CM2" s="46" t="s">
        <v>109</v>
      </c>
      <c r="CN2" s="46" t="s">
        <v>110</v>
      </c>
      <c r="CO2" s="46" t="s">
        <v>109</v>
      </c>
      <c r="CP2" s="46" t="s">
        <v>111</v>
      </c>
    </row>
    <row r="3" spans="1:94">
      <c r="A3" s="4" t="s">
        <v>90</v>
      </c>
      <c r="B3" s="4">
        <v>2</v>
      </c>
      <c r="C3" s="29">
        <v>40876</v>
      </c>
      <c r="D3" s="29" t="s">
        <v>91</v>
      </c>
      <c r="E3" s="4">
        <v>1988</v>
      </c>
      <c r="F3" s="4" t="s">
        <v>112</v>
      </c>
      <c r="G3" s="4" t="s">
        <v>93</v>
      </c>
      <c r="H3" s="4" t="s">
        <v>94</v>
      </c>
      <c r="I3" s="4" t="s">
        <v>113</v>
      </c>
      <c r="J3" s="45" t="s">
        <v>96</v>
      </c>
      <c r="K3" s="45" t="s">
        <v>97</v>
      </c>
      <c r="L3" s="4" t="s">
        <v>98</v>
      </c>
      <c r="M3" s="4" t="s">
        <v>114</v>
      </c>
      <c r="N3" s="4" t="s">
        <v>105</v>
      </c>
      <c r="O3" s="4">
        <v>3</v>
      </c>
      <c r="P3" s="4">
        <v>8</v>
      </c>
      <c r="Q3" s="4" t="s">
        <v>101</v>
      </c>
      <c r="R3" s="4" t="s">
        <v>115</v>
      </c>
      <c r="S3" s="4" t="s">
        <v>116</v>
      </c>
      <c r="T3" s="4" t="s">
        <v>117</v>
      </c>
      <c r="U3" s="4" t="s">
        <v>105</v>
      </c>
      <c r="V3" s="4">
        <v>1</v>
      </c>
      <c r="W3" s="4">
        <v>1</v>
      </c>
      <c r="X3" s="4">
        <v>5</v>
      </c>
      <c r="Y3" s="4" t="s">
        <v>118</v>
      </c>
      <c r="Z3" s="4" t="s">
        <v>107</v>
      </c>
      <c r="AA3" s="4" t="s">
        <v>101</v>
      </c>
      <c r="AB3" s="4" t="s">
        <v>107</v>
      </c>
      <c r="AC3" s="4" t="s">
        <v>108</v>
      </c>
      <c r="AD3" s="4" t="s">
        <v>107</v>
      </c>
      <c r="AE3" s="4" t="s">
        <v>107</v>
      </c>
      <c r="AF3" s="4" t="s">
        <v>108</v>
      </c>
      <c r="AG3" s="4" t="s">
        <v>108</v>
      </c>
      <c r="AH3" s="4" t="s">
        <v>101</v>
      </c>
      <c r="AI3" s="4" t="s">
        <v>108</v>
      </c>
      <c r="AJ3" s="4" t="s">
        <v>101</v>
      </c>
      <c r="AK3" s="4" t="s">
        <v>107</v>
      </c>
      <c r="AL3" s="4" t="s">
        <v>108</v>
      </c>
      <c r="AM3" s="4" t="s">
        <v>108</v>
      </c>
      <c r="AN3" s="4" t="s">
        <v>107</v>
      </c>
      <c r="AO3" s="4" t="s">
        <v>119</v>
      </c>
      <c r="AP3" s="4" t="s">
        <v>108</v>
      </c>
      <c r="AQ3" s="4" t="s">
        <v>101</v>
      </c>
      <c r="AR3" s="4" t="s">
        <v>101</v>
      </c>
      <c r="AS3" s="4">
        <v>0</v>
      </c>
      <c r="AT3" s="4">
        <v>1</v>
      </c>
      <c r="AU3" s="4">
        <v>0</v>
      </c>
      <c r="AV3" s="4">
        <v>1</v>
      </c>
      <c r="AW3" s="4">
        <v>0</v>
      </c>
      <c r="AX3" s="4">
        <v>0</v>
      </c>
      <c r="AY3" s="4" t="s">
        <v>101</v>
      </c>
      <c r="AZ3" s="4" t="s">
        <v>101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>
        <v>1</v>
      </c>
      <c r="BH3" s="4">
        <v>0</v>
      </c>
      <c r="BI3" s="4">
        <v>0</v>
      </c>
      <c r="BJ3" s="4">
        <v>0</v>
      </c>
      <c r="BK3" s="4">
        <v>0</v>
      </c>
      <c r="BL3" s="4" t="s">
        <v>101</v>
      </c>
      <c r="BM3" s="4">
        <v>0</v>
      </c>
      <c r="BN3" s="4">
        <v>0</v>
      </c>
      <c r="BO3" s="4">
        <v>0</v>
      </c>
      <c r="BP3" s="4">
        <v>0</v>
      </c>
      <c r="BQ3" s="4" t="s">
        <v>101</v>
      </c>
      <c r="BR3" s="4">
        <v>0</v>
      </c>
      <c r="BS3" s="4">
        <v>1</v>
      </c>
      <c r="BT3" s="4">
        <v>0</v>
      </c>
      <c r="BU3" s="4" t="s">
        <v>101</v>
      </c>
      <c r="BV3" s="4">
        <v>0</v>
      </c>
      <c r="BW3" s="4">
        <v>0</v>
      </c>
      <c r="BX3" s="4" t="s">
        <v>101</v>
      </c>
      <c r="BY3" s="4">
        <v>0</v>
      </c>
      <c r="BZ3" s="4" t="s">
        <v>101</v>
      </c>
      <c r="CA3" s="4" t="s">
        <v>101</v>
      </c>
      <c r="CB3" s="19" t="s">
        <v>109</v>
      </c>
      <c r="CC3" s="19" t="s">
        <v>109</v>
      </c>
      <c r="CD3" s="19" t="s">
        <v>111</v>
      </c>
      <c r="CE3" s="19" t="s">
        <v>109</v>
      </c>
      <c r="CF3" s="19" t="s">
        <v>111</v>
      </c>
      <c r="CG3" s="19" t="s">
        <v>109</v>
      </c>
      <c r="CH3" s="46" t="s">
        <v>110</v>
      </c>
      <c r="CI3" s="46" t="s">
        <v>111</v>
      </c>
      <c r="CJ3" s="46" t="s">
        <v>109</v>
      </c>
      <c r="CK3" s="46" t="s">
        <v>110</v>
      </c>
      <c r="CL3" s="46" t="s">
        <v>111</v>
      </c>
      <c r="CM3" s="46" t="s">
        <v>109</v>
      </c>
      <c r="CN3" s="46" t="s">
        <v>110</v>
      </c>
      <c r="CO3" s="46" t="s">
        <v>111</v>
      </c>
      <c r="CP3" s="46" t="s">
        <v>109</v>
      </c>
    </row>
    <row r="4" spans="1:94">
      <c r="A4" s="4" t="s">
        <v>90</v>
      </c>
      <c r="B4" s="4">
        <v>3</v>
      </c>
      <c r="C4" s="29">
        <v>40876</v>
      </c>
      <c r="D4" s="29" t="s">
        <v>91</v>
      </c>
      <c r="E4" s="4">
        <v>1987</v>
      </c>
      <c r="F4" s="4" t="s">
        <v>120</v>
      </c>
      <c r="G4" s="4" t="s">
        <v>93</v>
      </c>
      <c r="H4" s="4" t="s">
        <v>121</v>
      </c>
      <c r="I4" s="4" t="s">
        <v>95</v>
      </c>
      <c r="J4" s="45" t="s">
        <v>96</v>
      </c>
      <c r="K4" s="45" t="s">
        <v>122</v>
      </c>
      <c r="L4" s="45" t="s">
        <v>123</v>
      </c>
      <c r="M4" s="4" t="s">
        <v>124</v>
      </c>
      <c r="N4" s="4" t="s">
        <v>125</v>
      </c>
      <c r="O4" s="4">
        <v>12</v>
      </c>
      <c r="P4" s="4">
        <v>10</v>
      </c>
      <c r="Q4" s="4" t="s">
        <v>126</v>
      </c>
      <c r="R4" s="4" t="s">
        <v>127</v>
      </c>
      <c r="S4" s="4" t="s">
        <v>128</v>
      </c>
      <c r="T4" s="4" t="s">
        <v>101</v>
      </c>
      <c r="U4" s="4" t="s">
        <v>129</v>
      </c>
      <c r="V4" s="4">
        <v>3</v>
      </c>
      <c r="W4" s="4">
        <v>3</v>
      </c>
      <c r="X4" s="4">
        <v>5</v>
      </c>
      <c r="Y4" s="4" t="s">
        <v>106</v>
      </c>
      <c r="Z4" s="4" t="s">
        <v>107</v>
      </c>
      <c r="AA4" s="4" t="s">
        <v>107</v>
      </c>
      <c r="AB4" s="4" t="s">
        <v>101</v>
      </c>
      <c r="AC4" s="4" t="s">
        <v>107</v>
      </c>
      <c r="AD4" s="4" t="s">
        <v>107</v>
      </c>
      <c r="AE4" s="4" t="s">
        <v>107</v>
      </c>
      <c r="AF4" s="4" t="s">
        <v>107</v>
      </c>
      <c r="AG4" s="4" t="s">
        <v>107</v>
      </c>
      <c r="AH4" s="4" t="s">
        <v>101</v>
      </c>
      <c r="AI4" s="4" t="s">
        <v>108</v>
      </c>
      <c r="AJ4" s="4" t="s">
        <v>107</v>
      </c>
      <c r="AK4" s="4" t="s">
        <v>101</v>
      </c>
      <c r="AL4" s="4" t="s">
        <v>108</v>
      </c>
      <c r="AM4" s="4" t="s">
        <v>107</v>
      </c>
      <c r="AN4" s="4" t="s">
        <v>108</v>
      </c>
      <c r="AO4" s="4" t="s">
        <v>108</v>
      </c>
      <c r="AP4" s="4" t="s">
        <v>108</v>
      </c>
      <c r="AQ4" s="4" t="s">
        <v>101</v>
      </c>
      <c r="AR4" s="4">
        <v>0</v>
      </c>
      <c r="AS4" s="4" t="s">
        <v>101</v>
      </c>
      <c r="AT4" s="4">
        <v>0</v>
      </c>
      <c r="AU4" s="4">
        <v>0</v>
      </c>
      <c r="AV4" s="4">
        <v>1</v>
      </c>
      <c r="AW4" s="4">
        <v>0</v>
      </c>
      <c r="AX4" s="4">
        <v>0</v>
      </c>
      <c r="AY4" s="4" t="s">
        <v>101</v>
      </c>
      <c r="AZ4" s="4" t="s">
        <v>101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 t="s">
        <v>101</v>
      </c>
      <c r="BG4" s="4" t="s">
        <v>101</v>
      </c>
      <c r="BH4" s="4" t="s">
        <v>101</v>
      </c>
      <c r="BI4" s="4" t="s">
        <v>101</v>
      </c>
      <c r="BJ4" s="4" t="s">
        <v>101</v>
      </c>
      <c r="BK4" s="4" t="s">
        <v>101</v>
      </c>
      <c r="BL4" s="4" t="s">
        <v>101</v>
      </c>
      <c r="BM4" s="4">
        <v>0</v>
      </c>
      <c r="BN4" s="4">
        <v>0</v>
      </c>
      <c r="BO4" s="4">
        <v>0</v>
      </c>
      <c r="BP4" s="4">
        <v>0</v>
      </c>
      <c r="BQ4" s="4" t="s">
        <v>101</v>
      </c>
      <c r="BR4" s="4">
        <v>0</v>
      </c>
      <c r="BS4" s="4">
        <v>0</v>
      </c>
      <c r="BT4" s="4">
        <v>0</v>
      </c>
      <c r="BU4" s="4" t="s">
        <v>101</v>
      </c>
      <c r="BV4" s="4">
        <v>0</v>
      </c>
      <c r="BW4" s="4">
        <v>0</v>
      </c>
      <c r="BX4" s="4" t="s">
        <v>101</v>
      </c>
      <c r="BY4" s="4">
        <v>0</v>
      </c>
      <c r="BZ4" s="4" t="s">
        <v>101</v>
      </c>
      <c r="CA4" s="4" t="s">
        <v>101</v>
      </c>
      <c r="CB4" s="19" t="s">
        <v>111</v>
      </c>
      <c r="CC4" s="19" t="s">
        <v>109</v>
      </c>
      <c r="CD4" s="19" t="s">
        <v>109</v>
      </c>
      <c r="CE4" s="19" t="s">
        <v>109</v>
      </c>
      <c r="CF4" s="19" t="s">
        <v>109</v>
      </c>
      <c r="CG4" s="19" t="s">
        <v>109</v>
      </c>
      <c r="CH4" s="46" t="s">
        <v>130</v>
      </c>
      <c r="CI4" s="46" t="s">
        <v>109</v>
      </c>
      <c r="CJ4" s="46" t="s">
        <v>109</v>
      </c>
      <c r="CK4" s="46" t="s">
        <v>130</v>
      </c>
      <c r="CL4" s="46" t="s">
        <v>109</v>
      </c>
      <c r="CM4" s="46" t="s">
        <v>111</v>
      </c>
      <c r="CN4" s="46" t="s">
        <v>130</v>
      </c>
      <c r="CO4" s="46" t="s">
        <v>109</v>
      </c>
      <c r="CP4" s="46" t="s">
        <v>111</v>
      </c>
    </row>
    <row r="5" spans="1:94">
      <c r="A5" s="4" t="s">
        <v>90</v>
      </c>
      <c r="B5" s="4">
        <v>4</v>
      </c>
      <c r="C5" s="29">
        <v>40876</v>
      </c>
      <c r="D5" s="29" t="s">
        <v>91</v>
      </c>
      <c r="E5" s="4">
        <v>1986</v>
      </c>
      <c r="F5" s="4" t="s">
        <v>112</v>
      </c>
      <c r="G5" s="4" t="s">
        <v>131</v>
      </c>
      <c r="H5" s="4" t="s">
        <v>121</v>
      </c>
      <c r="I5" s="4" t="s">
        <v>95</v>
      </c>
      <c r="J5" s="45" t="s">
        <v>132</v>
      </c>
      <c r="K5" s="45" t="s">
        <v>97</v>
      </c>
      <c r="L5" s="4" t="s">
        <v>133</v>
      </c>
      <c r="M5" s="4" t="s">
        <v>114</v>
      </c>
      <c r="N5" s="4" t="s">
        <v>134</v>
      </c>
      <c r="O5" s="4">
        <v>9</v>
      </c>
      <c r="P5" s="4">
        <v>2</v>
      </c>
      <c r="Q5" s="4" t="s">
        <v>101</v>
      </c>
      <c r="R5" s="4" t="s">
        <v>135</v>
      </c>
      <c r="S5" s="4" t="s">
        <v>136</v>
      </c>
      <c r="T5" s="4" t="s">
        <v>137</v>
      </c>
      <c r="U5" s="4" t="s">
        <v>105</v>
      </c>
      <c r="V5" s="4">
        <v>2</v>
      </c>
      <c r="W5" s="4">
        <v>2</v>
      </c>
      <c r="X5" s="4">
        <v>3</v>
      </c>
      <c r="Y5" s="4" t="s">
        <v>118</v>
      </c>
      <c r="Z5" s="4" t="s">
        <v>108</v>
      </c>
      <c r="AA5" s="4" t="s">
        <v>108</v>
      </c>
      <c r="AB5" s="4" t="s">
        <v>107</v>
      </c>
      <c r="AC5" s="4" t="s">
        <v>101</v>
      </c>
      <c r="AD5" s="4" t="s">
        <v>107</v>
      </c>
      <c r="AE5" s="4" t="s">
        <v>108</v>
      </c>
      <c r="AF5" s="4" t="s">
        <v>108</v>
      </c>
      <c r="AG5" s="4" t="s">
        <v>108</v>
      </c>
      <c r="AH5" s="4" t="s">
        <v>101</v>
      </c>
      <c r="AI5" s="4" t="s">
        <v>108</v>
      </c>
      <c r="AJ5" s="4" t="s">
        <v>108</v>
      </c>
      <c r="AK5" s="4" t="s">
        <v>108</v>
      </c>
      <c r="AL5" s="4" t="s">
        <v>101</v>
      </c>
      <c r="AM5" s="4" t="s">
        <v>108</v>
      </c>
      <c r="AN5" s="4" t="s">
        <v>108</v>
      </c>
      <c r="AO5" s="4" t="s">
        <v>108</v>
      </c>
      <c r="AP5" s="4" t="s">
        <v>108</v>
      </c>
      <c r="AQ5" s="4" t="s">
        <v>101</v>
      </c>
      <c r="AR5" s="4">
        <v>1</v>
      </c>
      <c r="AS5" s="4">
        <v>1</v>
      </c>
      <c r="AT5" s="4" t="s">
        <v>101</v>
      </c>
      <c r="AU5" s="4">
        <v>0</v>
      </c>
      <c r="AV5" s="4">
        <v>1</v>
      </c>
      <c r="AW5" s="4">
        <v>0</v>
      </c>
      <c r="AX5" s="4">
        <v>0</v>
      </c>
      <c r="AY5" s="4" t="s">
        <v>101</v>
      </c>
      <c r="AZ5" s="4">
        <v>1</v>
      </c>
      <c r="BA5" s="4" t="s">
        <v>101</v>
      </c>
      <c r="BB5" s="4">
        <v>0</v>
      </c>
      <c r="BC5" s="4">
        <v>1</v>
      </c>
      <c r="BD5" s="4">
        <v>0</v>
      </c>
      <c r="BE5" s="4">
        <v>0</v>
      </c>
      <c r="BF5" s="4" t="s">
        <v>101</v>
      </c>
      <c r="BG5" s="4" t="s">
        <v>101</v>
      </c>
      <c r="BH5" s="4">
        <v>1</v>
      </c>
      <c r="BI5" s="4">
        <v>0</v>
      </c>
      <c r="BJ5" s="4">
        <v>1</v>
      </c>
      <c r="BK5" s="4">
        <v>0</v>
      </c>
      <c r="BL5" s="4" t="s">
        <v>101</v>
      </c>
      <c r="BM5" s="4" t="s">
        <v>101</v>
      </c>
      <c r="BN5" s="4" t="s">
        <v>101</v>
      </c>
      <c r="BO5" s="4" t="s">
        <v>101</v>
      </c>
      <c r="BP5" s="4" t="s">
        <v>101</v>
      </c>
      <c r="BQ5" s="4" t="s">
        <v>101</v>
      </c>
      <c r="BR5" s="4">
        <v>0</v>
      </c>
      <c r="BS5" s="4">
        <v>0</v>
      </c>
      <c r="BT5" s="4">
        <v>0</v>
      </c>
      <c r="BU5" s="4" t="s">
        <v>101</v>
      </c>
      <c r="BV5" s="4">
        <v>0</v>
      </c>
      <c r="BW5" s="4">
        <v>1</v>
      </c>
      <c r="BX5" s="4" t="s">
        <v>101</v>
      </c>
      <c r="BY5" s="4">
        <v>0</v>
      </c>
      <c r="BZ5" s="4" t="s">
        <v>101</v>
      </c>
      <c r="CA5" s="4" t="s">
        <v>101</v>
      </c>
      <c r="CB5" s="19" t="s">
        <v>111</v>
      </c>
      <c r="CC5" s="19" t="s">
        <v>111</v>
      </c>
      <c r="CD5" s="19" t="s">
        <v>111</v>
      </c>
      <c r="CE5" s="19" t="s">
        <v>109</v>
      </c>
      <c r="CF5" s="19" t="s">
        <v>111</v>
      </c>
      <c r="CG5" s="19" t="s">
        <v>109</v>
      </c>
      <c r="CH5" s="46" t="s">
        <v>110</v>
      </c>
      <c r="CI5" s="46" t="s">
        <v>111</v>
      </c>
      <c r="CJ5" s="46" t="s">
        <v>111</v>
      </c>
      <c r="CK5" s="46" t="s">
        <v>110</v>
      </c>
      <c r="CL5" s="46" t="s">
        <v>109</v>
      </c>
      <c r="CM5" s="46" t="s">
        <v>111</v>
      </c>
      <c r="CN5" s="46" t="s">
        <v>110</v>
      </c>
      <c r="CO5" s="46" t="s">
        <v>111</v>
      </c>
      <c r="CP5" s="46" t="s">
        <v>109</v>
      </c>
    </row>
    <row r="6" spans="1:94">
      <c r="A6" s="4" t="s">
        <v>90</v>
      </c>
      <c r="B6" s="4">
        <v>5</v>
      </c>
      <c r="C6" s="29">
        <v>40876</v>
      </c>
      <c r="D6" s="29" t="s">
        <v>91</v>
      </c>
      <c r="E6" s="4">
        <v>1989</v>
      </c>
      <c r="F6" s="4" t="s">
        <v>138</v>
      </c>
      <c r="G6" s="4" t="s">
        <v>93</v>
      </c>
      <c r="H6" s="4" t="s">
        <v>94</v>
      </c>
      <c r="I6" s="4" t="s">
        <v>95</v>
      </c>
      <c r="J6" s="45" t="s">
        <v>96</v>
      </c>
      <c r="K6" s="45" t="s">
        <v>122</v>
      </c>
      <c r="L6" s="4" t="s">
        <v>98</v>
      </c>
      <c r="M6" s="4" t="s">
        <v>99</v>
      </c>
      <c r="N6" s="4" t="s">
        <v>139</v>
      </c>
      <c r="O6" s="4">
        <v>5</v>
      </c>
      <c r="P6" s="4">
        <v>2</v>
      </c>
      <c r="Q6" s="4" t="s">
        <v>101</v>
      </c>
      <c r="R6" s="4" t="s">
        <v>140</v>
      </c>
      <c r="S6" s="4" t="s">
        <v>141</v>
      </c>
      <c r="T6" s="4" t="s">
        <v>142</v>
      </c>
      <c r="U6" s="4" t="s">
        <v>105</v>
      </c>
      <c r="V6" s="4">
        <v>3</v>
      </c>
      <c r="W6" s="4">
        <v>3</v>
      </c>
      <c r="X6" s="4">
        <v>7</v>
      </c>
      <c r="Y6" s="4" t="s">
        <v>106</v>
      </c>
      <c r="Z6" s="4" t="s">
        <v>107</v>
      </c>
      <c r="AA6" s="4" t="s">
        <v>107</v>
      </c>
      <c r="AB6" s="4" t="s">
        <v>107</v>
      </c>
      <c r="AC6" s="4" t="s">
        <v>107</v>
      </c>
      <c r="AD6" s="4" t="s">
        <v>101</v>
      </c>
      <c r="AE6" s="4" t="s">
        <v>107</v>
      </c>
      <c r="AF6" s="4" t="s">
        <v>107</v>
      </c>
      <c r="AG6" s="4" t="s">
        <v>107</v>
      </c>
      <c r="AH6" s="4" t="s">
        <v>101</v>
      </c>
      <c r="AI6" s="4" t="s">
        <v>107</v>
      </c>
      <c r="AJ6" s="4" t="s">
        <v>107</v>
      </c>
      <c r="AK6" s="4" t="s">
        <v>107</v>
      </c>
      <c r="AL6" s="4" t="s">
        <v>107</v>
      </c>
      <c r="AM6" s="4" t="s">
        <v>101</v>
      </c>
      <c r="AN6" s="4" t="s">
        <v>107</v>
      </c>
      <c r="AO6" s="4" t="s">
        <v>107</v>
      </c>
      <c r="AP6" s="4" t="s">
        <v>107</v>
      </c>
      <c r="AQ6" s="4" t="s">
        <v>101</v>
      </c>
      <c r="AR6" s="4">
        <v>1</v>
      </c>
      <c r="AS6" s="4">
        <v>1</v>
      </c>
      <c r="AT6" s="4">
        <v>1</v>
      </c>
      <c r="AU6" s="4" t="s">
        <v>101</v>
      </c>
      <c r="AV6" s="4">
        <v>1</v>
      </c>
      <c r="AW6" s="4">
        <v>0</v>
      </c>
      <c r="AX6" s="4">
        <v>1</v>
      </c>
      <c r="AY6" s="4" t="s">
        <v>101</v>
      </c>
      <c r="AZ6" s="4">
        <v>1</v>
      </c>
      <c r="BA6" s="4">
        <v>1</v>
      </c>
      <c r="BB6" s="4" t="s">
        <v>101</v>
      </c>
      <c r="BC6" s="4">
        <v>1</v>
      </c>
      <c r="BD6" s="4">
        <v>0</v>
      </c>
      <c r="BE6" s="4">
        <v>1</v>
      </c>
      <c r="BF6" s="4" t="s">
        <v>101</v>
      </c>
      <c r="BG6" s="4">
        <v>1</v>
      </c>
      <c r="BH6" s="4" t="s">
        <v>101</v>
      </c>
      <c r="BI6" s="4">
        <v>0</v>
      </c>
      <c r="BJ6" s="4">
        <v>0</v>
      </c>
      <c r="BK6" s="4">
        <v>1</v>
      </c>
      <c r="BL6" s="4" t="s">
        <v>101</v>
      </c>
      <c r="BM6" s="4" t="s">
        <v>101</v>
      </c>
      <c r="BN6" s="4">
        <v>1</v>
      </c>
      <c r="BO6" s="4">
        <v>0</v>
      </c>
      <c r="BP6" s="4">
        <v>1</v>
      </c>
      <c r="BQ6" s="4" t="s">
        <v>101</v>
      </c>
      <c r="BR6" s="4" t="s">
        <v>101</v>
      </c>
      <c r="BS6" s="4" t="s">
        <v>101</v>
      </c>
      <c r="BT6" s="4" t="s">
        <v>101</v>
      </c>
      <c r="BU6" s="4" t="s">
        <v>101</v>
      </c>
      <c r="BV6" s="4">
        <v>0</v>
      </c>
      <c r="BW6" s="4">
        <v>1</v>
      </c>
      <c r="BX6" s="4" t="s">
        <v>101</v>
      </c>
      <c r="BY6" s="4">
        <v>0</v>
      </c>
      <c r="BZ6" s="4" t="s">
        <v>101</v>
      </c>
      <c r="CA6" s="4" t="s">
        <v>101</v>
      </c>
      <c r="CB6" s="19" t="s">
        <v>109</v>
      </c>
      <c r="CC6" s="19" t="s">
        <v>109</v>
      </c>
      <c r="CD6" s="19" t="s">
        <v>109</v>
      </c>
      <c r="CE6" s="19" t="s">
        <v>109</v>
      </c>
      <c r="CF6" s="19" t="s">
        <v>109</v>
      </c>
      <c r="CG6" s="19" t="s">
        <v>109</v>
      </c>
      <c r="CH6" s="46" t="s">
        <v>110</v>
      </c>
      <c r="CI6" s="46" t="s">
        <v>109</v>
      </c>
      <c r="CJ6" s="46" t="s">
        <v>109</v>
      </c>
      <c r="CK6" s="46" t="s">
        <v>110</v>
      </c>
      <c r="CL6" s="46" t="s">
        <v>109</v>
      </c>
      <c r="CM6" s="46" t="s">
        <v>109</v>
      </c>
      <c r="CN6" s="46" t="s">
        <v>110</v>
      </c>
      <c r="CO6" s="46" t="s">
        <v>109</v>
      </c>
      <c r="CP6" s="46" t="s">
        <v>109</v>
      </c>
    </row>
    <row r="7" spans="1:94">
      <c r="A7" s="4" t="s">
        <v>90</v>
      </c>
      <c r="B7" s="4">
        <v>6</v>
      </c>
      <c r="C7" s="29">
        <v>40876</v>
      </c>
      <c r="D7" s="29" t="s">
        <v>91</v>
      </c>
      <c r="E7" s="4">
        <v>1984</v>
      </c>
      <c r="F7" s="4" t="s">
        <v>143</v>
      </c>
      <c r="G7" s="4" t="s">
        <v>93</v>
      </c>
      <c r="H7" s="4" t="s">
        <v>94</v>
      </c>
      <c r="I7" s="4" t="s">
        <v>113</v>
      </c>
      <c r="J7" s="45" t="s">
        <v>96</v>
      </c>
      <c r="K7" s="45" t="s">
        <v>97</v>
      </c>
      <c r="L7" s="4" t="s">
        <v>99</v>
      </c>
      <c r="M7" s="4" t="s">
        <v>99</v>
      </c>
      <c r="N7" s="4" t="s">
        <v>144</v>
      </c>
      <c r="O7" s="4">
        <v>11</v>
      </c>
      <c r="P7" s="4">
        <v>10</v>
      </c>
      <c r="Q7" s="4" t="s">
        <v>145</v>
      </c>
      <c r="R7" s="4" t="s">
        <v>146</v>
      </c>
      <c r="S7" s="4" t="s">
        <v>147</v>
      </c>
      <c r="T7" s="4" t="s">
        <v>101</v>
      </c>
      <c r="U7" s="4" t="s">
        <v>148</v>
      </c>
      <c r="V7" s="4">
        <v>0</v>
      </c>
      <c r="W7" s="4">
        <v>0</v>
      </c>
      <c r="X7" s="4">
        <v>8</v>
      </c>
      <c r="Y7" s="4" t="s">
        <v>119</v>
      </c>
      <c r="Z7" s="4" t="s">
        <v>107</v>
      </c>
      <c r="AA7" s="4" t="s">
        <v>107</v>
      </c>
      <c r="AB7" s="4" t="s">
        <v>107</v>
      </c>
      <c r="AC7" s="4" t="s">
        <v>107</v>
      </c>
      <c r="AD7" s="4" t="s">
        <v>107</v>
      </c>
      <c r="AE7" s="4" t="s">
        <v>101</v>
      </c>
      <c r="AF7" s="4" t="s">
        <v>119</v>
      </c>
      <c r="AG7" s="4" t="s">
        <v>107</v>
      </c>
      <c r="AH7" s="4" t="s">
        <v>101</v>
      </c>
      <c r="AI7" s="4" t="s">
        <v>107</v>
      </c>
      <c r="AJ7" s="4" t="s">
        <v>107</v>
      </c>
      <c r="AK7" s="4" t="s">
        <v>108</v>
      </c>
      <c r="AL7" s="4" t="s">
        <v>108</v>
      </c>
      <c r="AM7" s="4" t="s">
        <v>108</v>
      </c>
      <c r="AN7" s="4" t="s">
        <v>101</v>
      </c>
      <c r="AO7" s="4" t="s">
        <v>119</v>
      </c>
      <c r="AP7" s="4" t="s">
        <v>108</v>
      </c>
      <c r="AQ7" s="4" t="s">
        <v>101</v>
      </c>
      <c r="AR7" s="4">
        <v>1</v>
      </c>
      <c r="AS7" s="4">
        <v>1</v>
      </c>
      <c r="AT7" s="4">
        <v>1</v>
      </c>
      <c r="AU7" s="4">
        <v>1</v>
      </c>
      <c r="AV7" s="4" t="s">
        <v>101</v>
      </c>
      <c r="AW7" s="4">
        <v>0</v>
      </c>
      <c r="AX7" s="4">
        <v>1</v>
      </c>
      <c r="AY7" s="4" t="s">
        <v>101</v>
      </c>
      <c r="AZ7" s="4">
        <v>1</v>
      </c>
      <c r="BA7" s="4">
        <v>1</v>
      </c>
      <c r="BB7" s="4">
        <v>1</v>
      </c>
      <c r="BC7" s="4" t="s">
        <v>101</v>
      </c>
      <c r="BD7" s="4">
        <v>0</v>
      </c>
      <c r="BE7" s="4">
        <v>1</v>
      </c>
      <c r="BF7" s="4" t="s">
        <v>101</v>
      </c>
      <c r="BG7" s="4">
        <v>1</v>
      </c>
      <c r="BH7" s="4">
        <v>1</v>
      </c>
      <c r="BI7" s="4" t="s">
        <v>101</v>
      </c>
      <c r="BJ7" s="4">
        <v>0</v>
      </c>
      <c r="BK7" s="4">
        <v>1</v>
      </c>
      <c r="BL7" s="4" t="s">
        <v>101</v>
      </c>
      <c r="BM7" s="4">
        <v>1</v>
      </c>
      <c r="BN7" s="4" t="s">
        <v>101</v>
      </c>
      <c r="BO7" s="4">
        <v>0</v>
      </c>
      <c r="BP7" s="4">
        <v>1</v>
      </c>
      <c r="BQ7" s="4" t="s">
        <v>101</v>
      </c>
      <c r="BR7" s="4">
        <v>1</v>
      </c>
      <c r="BS7" s="4">
        <v>0</v>
      </c>
      <c r="BT7" s="4">
        <v>1</v>
      </c>
      <c r="BU7" s="4" t="s">
        <v>101</v>
      </c>
      <c r="BV7" s="4" t="s">
        <v>101</v>
      </c>
      <c r="BW7" s="4" t="s">
        <v>101</v>
      </c>
      <c r="BX7" s="4" t="s">
        <v>101</v>
      </c>
      <c r="BY7" s="4">
        <v>0</v>
      </c>
      <c r="BZ7" s="4" t="s">
        <v>101</v>
      </c>
      <c r="CA7" s="4" t="s">
        <v>101</v>
      </c>
      <c r="CB7" s="19" t="s">
        <v>109</v>
      </c>
      <c r="CC7" s="19" t="s">
        <v>109</v>
      </c>
      <c r="CD7" s="19" t="s">
        <v>111</v>
      </c>
      <c r="CE7" s="19" t="s">
        <v>109</v>
      </c>
      <c r="CF7" s="19" t="s">
        <v>111</v>
      </c>
      <c r="CG7" s="19" t="s">
        <v>109</v>
      </c>
      <c r="CH7" s="46" t="s">
        <v>130</v>
      </c>
      <c r="CI7" s="46" t="s">
        <v>111</v>
      </c>
      <c r="CJ7" s="46" t="s">
        <v>109</v>
      </c>
      <c r="CK7" s="46" t="s">
        <v>110</v>
      </c>
      <c r="CL7" s="46" t="s">
        <v>111</v>
      </c>
      <c r="CM7" s="46" t="s">
        <v>109</v>
      </c>
      <c r="CN7" s="46" t="s">
        <v>130</v>
      </c>
      <c r="CO7" s="46" t="s">
        <v>111</v>
      </c>
      <c r="CP7" s="46" t="s">
        <v>109</v>
      </c>
    </row>
    <row r="8" spans="1:94">
      <c r="A8" s="4" t="s">
        <v>90</v>
      </c>
      <c r="B8" s="4">
        <v>8</v>
      </c>
      <c r="C8" s="29">
        <v>40876</v>
      </c>
      <c r="D8" s="29" t="s">
        <v>91</v>
      </c>
      <c r="E8" s="4">
        <v>1989</v>
      </c>
      <c r="F8" s="4" t="s">
        <v>112</v>
      </c>
      <c r="G8" s="4" t="s">
        <v>93</v>
      </c>
      <c r="H8" s="4" t="s">
        <v>121</v>
      </c>
      <c r="I8" s="4" t="s">
        <v>113</v>
      </c>
      <c r="J8" s="45" t="s">
        <v>132</v>
      </c>
      <c r="K8" s="45" t="s">
        <v>97</v>
      </c>
      <c r="L8" s="4" t="s">
        <v>98</v>
      </c>
      <c r="M8" s="4" t="s">
        <v>99</v>
      </c>
      <c r="N8" s="4" t="s">
        <v>149</v>
      </c>
      <c r="O8" s="4">
        <v>8</v>
      </c>
      <c r="P8" s="4">
        <v>8</v>
      </c>
      <c r="Q8" s="4" t="s">
        <v>150</v>
      </c>
      <c r="R8" s="4" t="s">
        <v>135</v>
      </c>
      <c r="S8" s="4" t="s">
        <v>105</v>
      </c>
      <c r="T8" s="4" t="s">
        <v>151</v>
      </c>
      <c r="U8" s="4" t="s">
        <v>105</v>
      </c>
      <c r="V8" s="4">
        <v>1</v>
      </c>
      <c r="W8" s="4">
        <v>1</v>
      </c>
      <c r="X8" s="4">
        <v>5</v>
      </c>
      <c r="Y8" s="4" t="s">
        <v>106</v>
      </c>
      <c r="Z8" s="4" t="s">
        <v>108</v>
      </c>
      <c r="AA8" s="4" t="s">
        <v>108</v>
      </c>
      <c r="AB8" s="4" t="s">
        <v>108</v>
      </c>
      <c r="AC8" s="4" t="s">
        <v>108</v>
      </c>
      <c r="AD8" s="4" t="s">
        <v>108</v>
      </c>
      <c r="AE8" s="4" t="s">
        <v>108</v>
      </c>
      <c r="AF8" s="4" t="s">
        <v>108</v>
      </c>
      <c r="AG8" s="4" t="s">
        <v>101</v>
      </c>
      <c r="AH8" s="4" t="s">
        <v>101</v>
      </c>
      <c r="AI8" s="4" t="s">
        <v>108</v>
      </c>
      <c r="AJ8" s="4" t="s">
        <v>108</v>
      </c>
      <c r="AK8" s="4" t="s">
        <v>108</v>
      </c>
      <c r="AL8" s="4" t="s">
        <v>108</v>
      </c>
      <c r="AM8" s="4" t="s">
        <v>108</v>
      </c>
      <c r="AN8" s="4" t="s">
        <v>108</v>
      </c>
      <c r="AO8" s="4" t="s">
        <v>108</v>
      </c>
      <c r="AP8" s="4" t="s">
        <v>101</v>
      </c>
      <c r="AQ8" s="4" t="s">
        <v>101</v>
      </c>
      <c r="AR8" s="4">
        <v>0</v>
      </c>
      <c r="AS8" s="4">
        <v>1</v>
      </c>
      <c r="AT8" s="4">
        <v>0</v>
      </c>
      <c r="AU8" s="4">
        <v>1</v>
      </c>
      <c r="AV8" s="4">
        <v>1</v>
      </c>
      <c r="AW8" s="4">
        <v>0</v>
      </c>
      <c r="AX8" s="4" t="s">
        <v>101</v>
      </c>
      <c r="AY8" s="4" t="s">
        <v>101</v>
      </c>
      <c r="AZ8" s="4">
        <v>0</v>
      </c>
      <c r="BA8" s="4">
        <v>0</v>
      </c>
      <c r="BB8" s="4">
        <v>0</v>
      </c>
      <c r="BC8" s="4">
        <v>1</v>
      </c>
      <c r="BD8" s="4">
        <v>0</v>
      </c>
      <c r="BE8" s="4" t="s">
        <v>101</v>
      </c>
      <c r="BF8" s="4" t="s">
        <v>101</v>
      </c>
      <c r="BG8" s="4">
        <v>1</v>
      </c>
      <c r="BH8" s="4">
        <v>0</v>
      </c>
      <c r="BI8" s="4">
        <v>1</v>
      </c>
      <c r="BJ8" s="4">
        <v>0</v>
      </c>
      <c r="BK8" s="4" t="s">
        <v>101</v>
      </c>
      <c r="BL8" s="4" t="s">
        <v>101</v>
      </c>
      <c r="BM8" s="4">
        <v>0</v>
      </c>
      <c r="BN8" s="4">
        <v>0</v>
      </c>
      <c r="BO8" s="4">
        <v>0</v>
      </c>
      <c r="BP8" s="4" t="s">
        <v>101</v>
      </c>
      <c r="BQ8" s="4" t="s">
        <v>101</v>
      </c>
      <c r="BR8" s="4">
        <v>1</v>
      </c>
      <c r="BS8" s="4">
        <v>0</v>
      </c>
      <c r="BT8" s="4" t="s">
        <v>101</v>
      </c>
      <c r="BU8" s="4" t="s">
        <v>101</v>
      </c>
      <c r="BV8" s="4">
        <v>0</v>
      </c>
      <c r="BW8" s="4" t="s">
        <v>101</v>
      </c>
      <c r="BX8" s="4" t="s">
        <v>101</v>
      </c>
      <c r="BY8" s="4" t="s">
        <v>101</v>
      </c>
      <c r="BZ8" s="4" t="s">
        <v>101</v>
      </c>
      <c r="CA8" s="4" t="s">
        <v>101</v>
      </c>
      <c r="CB8" s="19" t="s">
        <v>111</v>
      </c>
      <c r="CC8" s="19" t="s">
        <v>111</v>
      </c>
      <c r="CD8" s="19" t="s">
        <v>111</v>
      </c>
      <c r="CE8" s="19" t="s">
        <v>109</v>
      </c>
      <c r="CF8" s="19" t="s">
        <v>111</v>
      </c>
      <c r="CG8" s="19" t="s">
        <v>109</v>
      </c>
      <c r="CH8" s="46" t="s">
        <v>110</v>
      </c>
      <c r="CI8" s="46" t="s">
        <v>111</v>
      </c>
      <c r="CJ8" s="46" t="s">
        <v>109</v>
      </c>
      <c r="CK8" s="46" t="s">
        <v>110</v>
      </c>
      <c r="CL8" s="46" t="s">
        <v>111</v>
      </c>
      <c r="CM8" s="46" t="s">
        <v>109</v>
      </c>
      <c r="CN8" s="46" t="s">
        <v>130</v>
      </c>
      <c r="CO8" s="46" t="s">
        <v>111</v>
      </c>
      <c r="CP8" s="46" t="s">
        <v>109</v>
      </c>
    </row>
    <row r="9" spans="1:94">
      <c r="A9" s="4" t="s">
        <v>90</v>
      </c>
      <c r="B9" s="4">
        <v>9</v>
      </c>
      <c r="C9" s="29">
        <v>40876</v>
      </c>
      <c r="D9" s="29" t="s">
        <v>91</v>
      </c>
      <c r="E9" s="4">
        <v>1989</v>
      </c>
      <c r="F9" s="4" t="s">
        <v>120</v>
      </c>
      <c r="G9" s="4" t="s">
        <v>93</v>
      </c>
      <c r="H9" s="4" t="s">
        <v>94</v>
      </c>
      <c r="I9" s="4" t="s">
        <v>95</v>
      </c>
      <c r="J9" s="45" t="s">
        <v>132</v>
      </c>
      <c r="K9" s="45" t="s">
        <v>122</v>
      </c>
      <c r="L9" s="4" t="s">
        <v>152</v>
      </c>
      <c r="M9" s="4" t="s">
        <v>99</v>
      </c>
      <c r="N9" s="4" t="s">
        <v>153</v>
      </c>
      <c r="O9" s="4">
        <v>6</v>
      </c>
      <c r="P9" s="4">
        <v>2</v>
      </c>
      <c r="Q9" s="4" t="s">
        <v>101</v>
      </c>
      <c r="R9" s="4" t="s">
        <v>154</v>
      </c>
      <c r="S9" s="4" t="s">
        <v>155</v>
      </c>
      <c r="T9" s="4" t="s">
        <v>156</v>
      </c>
      <c r="U9" s="4" t="s">
        <v>105</v>
      </c>
      <c r="V9" s="4">
        <v>1</v>
      </c>
      <c r="W9" s="4">
        <v>1</v>
      </c>
      <c r="X9" s="4">
        <v>0</v>
      </c>
      <c r="Y9" s="4" t="s">
        <v>106</v>
      </c>
      <c r="Z9" s="4" t="s">
        <v>108</v>
      </c>
      <c r="AA9" s="4" t="s">
        <v>108</v>
      </c>
      <c r="AB9" s="4" t="s">
        <v>108</v>
      </c>
      <c r="AC9" s="4" t="s">
        <v>119</v>
      </c>
      <c r="AD9" s="4" t="s">
        <v>108</v>
      </c>
      <c r="AE9" s="4" t="s">
        <v>108</v>
      </c>
      <c r="AF9" s="4" t="s">
        <v>119</v>
      </c>
      <c r="AG9" s="4" t="s">
        <v>108</v>
      </c>
      <c r="AH9" s="4" t="s">
        <v>101</v>
      </c>
      <c r="AI9" s="4" t="s">
        <v>108</v>
      </c>
      <c r="AJ9" s="4" t="s">
        <v>108</v>
      </c>
      <c r="AK9" s="4" t="s">
        <v>108</v>
      </c>
      <c r="AL9" s="4" t="s">
        <v>119</v>
      </c>
      <c r="AM9" s="4" t="s">
        <v>108</v>
      </c>
      <c r="AN9" s="4" t="s">
        <v>108</v>
      </c>
      <c r="AO9" s="4" t="s">
        <v>119</v>
      </c>
      <c r="AP9" s="4" t="s">
        <v>108</v>
      </c>
      <c r="AQ9" s="4" t="s">
        <v>101</v>
      </c>
      <c r="AR9" s="4">
        <v>1</v>
      </c>
      <c r="AS9" s="4">
        <v>1</v>
      </c>
      <c r="AT9" s="4">
        <v>0</v>
      </c>
      <c r="AU9" s="4">
        <v>1</v>
      </c>
      <c r="AV9" s="4">
        <v>1</v>
      </c>
      <c r="AW9" s="4">
        <v>0</v>
      </c>
      <c r="AX9" s="4">
        <v>0</v>
      </c>
      <c r="AY9" s="4" t="s">
        <v>101</v>
      </c>
      <c r="AZ9" s="4">
        <v>1</v>
      </c>
      <c r="BA9" s="4">
        <v>0</v>
      </c>
      <c r="BB9" s="4">
        <v>1</v>
      </c>
      <c r="BC9" s="4">
        <v>1</v>
      </c>
      <c r="BD9" s="4">
        <v>0</v>
      </c>
      <c r="BE9" s="4">
        <v>0</v>
      </c>
      <c r="BF9" s="4" t="s">
        <v>101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 t="s">
        <v>101</v>
      </c>
      <c r="BM9" s="4">
        <v>0</v>
      </c>
      <c r="BN9" s="4">
        <v>0</v>
      </c>
      <c r="BO9" s="4">
        <v>0</v>
      </c>
      <c r="BP9" s="4">
        <v>0</v>
      </c>
      <c r="BQ9" s="4" t="s">
        <v>101</v>
      </c>
      <c r="BR9" s="4">
        <v>1</v>
      </c>
      <c r="BS9" s="4">
        <v>0</v>
      </c>
      <c r="BT9" s="4">
        <v>0</v>
      </c>
      <c r="BU9" s="4" t="s">
        <v>101</v>
      </c>
      <c r="BV9" s="4">
        <v>0</v>
      </c>
      <c r="BW9" s="4">
        <v>0</v>
      </c>
      <c r="BX9" s="4" t="s">
        <v>101</v>
      </c>
      <c r="BY9" s="4">
        <v>0</v>
      </c>
      <c r="BZ9" s="4" t="s">
        <v>101</v>
      </c>
      <c r="CA9" s="4" t="s">
        <v>101</v>
      </c>
      <c r="CB9" s="19" t="s">
        <v>109</v>
      </c>
      <c r="CC9" s="19" t="s">
        <v>109</v>
      </c>
      <c r="CD9" s="19" t="s">
        <v>109</v>
      </c>
      <c r="CE9" s="19" t="s">
        <v>109</v>
      </c>
      <c r="CF9" s="19" t="s">
        <v>109</v>
      </c>
      <c r="CG9" s="19" t="s">
        <v>109</v>
      </c>
      <c r="CH9" s="46" t="s">
        <v>110</v>
      </c>
      <c r="CI9" s="46" t="s">
        <v>111</v>
      </c>
      <c r="CJ9" s="46" t="s">
        <v>109</v>
      </c>
      <c r="CK9" s="46" t="s">
        <v>110</v>
      </c>
      <c r="CL9" s="46" t="s">
        <v>111</v>
      </c>
      <c r="CM9" s="46" t="s">
        <v>109</v>
      </c>
      <c r="CN9" s="46" t="s">
        <v>130</v>
      </c>
      <c r="CO9" s="46" t="s">
        <v>109</v>
      </c>
      <c r="CP9" s="46" t="s">
        <v>109</v>
      </c>
    </row>
    <row r="10" spans="1:94">
      <c r="A10" s="4" t="s">
        <v>157</v>
      </c>
      <c r="B10" s="4">
        <v>1</v>
      </c>
      <c r="C10" s="29">
        <v>40876</v>
      </c>
      <c r="D10" s="29" t="s">
        <v>91</v>
      </c>
      <c r="E10" s="4">
        <v>1989</v>
      </c>
      <c r="F10" s="4" t="s">
        <v>92</v>
      </c>
      <c r="G10" s="4" t="s">
        <v>93</v>
      </c>
      <c r="H10" s="4" t="s">
        <v>94</v>
      </c>
      <c r="I10" s="4" t="s">
        <v>95</v>
      </c>
      <c r="J10" s="4" t="s">
        <v>158</v>
      </c>
      <c r="K10" s="45" t="s">
        <v>97</v>
      </c>
      <c r="L10" s="4" t="s">
        <v>98</v>
      </c>
      <c r="M10" s="4" t="s">
        <v>114</v>
      </c>
      <c r="N10" s="4" t="s">
        <v>105</v>
      </c>
      <c r="O10" s="4">
        <v>8</v>
      </c>
      <c r="P10" s="4">
        <v>1</v>
      </c>
      <c r="Q10" s="4" t="s">
        <v>101</v>
      </c>
      <c r="R10" s="4" t="s">
        <v>159</v>
      </c>
      <c r="S10" s="4" t="s">
        <v>141</v>
      </c>
      <c r="T10" s="4" t="s">
        <v>160</v>
      </c>
      <c r="U10" s="4" t="s">
        <v>105</v>
      </c>
      <c r="V10" s="4">
        <v>5</v>
      </c>
      <c r="W10" s="4">
        <v>1</v>
      </c>
      <c r="X10" s="4">
        <v>3</v>
      </c>
      <c r="Y10" s="4" t="s">
        <v>118</v>
      </c>
      <c r="Z10" s="4" t="s">
        <v>101</v>
      </c>
      <c r="AA10" s="4" t="s">
        <v>107</v>
      </c>
      <c r="AB10" s="4" t="s">
        <v>107</v>
      </c>
      <c r="AC10" s="4" t="s">
        <v>107</v>
      </c>
      <c r="AD10" s="4" t="s">
        <v>107</v>
      </c>
      <c r="AE10" s="4" t="s">
        <v>108</v>
      </c>
      <c r="AF10" s="4" t="s">
        <v>108</v>
      </c>
      <c r="AG10" s="4" t="s">
        <v>101</v>
      </c>
      <c r="AH10" s="4" t="s">
        <v>101</v>
      </c>
      <c r="AI10" s="4" t="s">
        <v>101</v>
      </c>
      <c r="AJ10" s="4" t="s">
        <v>107</v>
      </c>
      <c r="AK10" s="4" t="s">
        <v>107</v>
      </c>
      <c r="AL10" s="4" t="s">
        <v>107</v>
      </c>
      <c r="AM10" s="4" t="s">
        <v>108</v>
      </c>
      <c r="AN10" s="4" t="s">
        <v>108</v>
      </c>
      <c r="AO10" s="4" t="s">
        <v>108</v>
      </c>
      <c r="AP10" s="4" t="s">
        <v>101</v>
      </c>
      <c r="AQ10" s="4" t="s">
        <v>101</v>
      </c>
      <c r="AR10" s="4" t="s">
        <v>101</v>
      </c>
      <c r="AS10" s="4" t="s">
        <v>101</v>
      </c>
      <c r="AT10" s="4" t="s">
        <v>101</v>
      </c>
      <c r="AU10" s="4" t="s">
        <v>101</v>
      </c>
      <c r="AV10" s="4" t="s">
        <v>101</v>
      </c>
      <c r="AW10" s="4" t="s">
        <v>101</v>
      </c>
      <c r="AX10" s="4" t="s">
        <v>101</v>
      </c>
      <c r="AY10" s="4" t="s">
        <v>101</v>
      </c>
      <c r="AZ10" s="4">
        <v>1</v>
      </c>
      <c r="BA10" s="4">
        <v>1</v>
      </c>
      <c r="BB10" s="4">
        <v>0</v>
      </c>
      <c r="BC10" s="4">
        <v>1</v>
      </c>
      <c r="BD10" s="4">
        <v>0</v>
      </c>
      <c r="BE10" s="4" t="s">
        <v>101</v>
      </c>
      <c r="BF10" s="4" t="s">
        <v>101</v>
      </c>
      <c r="BG10" s="4">
        <v>1</v>
      </c>
      <c r="BH10" s="4">
        <v>1</v>
      </c>
      <c r="BI10" s="4">
        <v>1</v>
      </c>
      <c r="BJ10" s="4">
        <v>1</v>
      </c>
      <c r="BK10" s="4" t="s">
        <v>101</v>
      </c>
      <c r="BL10" s="4" t="s">
        <v>101</v>
      </c>
      <c r="BM10" s="4">
        <v>0</v>
      </c>
      <c r="BN10" s="4">
        <v>1</v>
      </c>
      <c r="BO10" s="4">
        <v>1</v>
      </c>
      <c r="BP10" s="4" t="s">
        <v>101</v>
      </c>
      <c r="BQ10" s="4" t="s">
        <v>101</v>
      </c>
      <c r="BR10" s="4">
        <v>1</v>
      </c>
      <c r="BS10" s="4">
        <v>0</v>
      </c>
      <c r="BT10" s="4" t="s">
        <v>101</v>
      </c>
      <c r="BU10" s="4" t="s">
        <v>101</v>
      </c>
      <c r="BV10" s="4">
        <v>0</v>
      </c>
      <c r="BW10" s="4" t="s">
        <v>101</v>
      </c>
      <c r="BX10" s="4" t="s">
        <v>101</v>
      </c>
      <c r="BY10" s="4" t="s">
        <v>101</v>
      </c>
      <c r="BZ10" s="4" t="s">
        <v>101</v>
      </c>
      <c r="CA10" s="4" t="s">
        <v>101</v>
      </c>
      <c r="CB10" s="19" t="s">
        <v>111</v>
      </c>
      <c r="CC10" s="19" t="s">
        <v>109</v>
      </c>
      <c r="CD10" s="19" t="s">
        <v>111</v>
      </c>
      <c r="CE10" s="19" t="s">
        <v>109</v>
      </c>
      <c r="CF10" s="19" t="s">
        <v>111</v>
      </c>
      <c r="CG10" s="19" t="s">
        <v>109</v>
      </c>
      <c r="CH10" s="46" t="s">
        <v>110</v>
      </c>
      <c r="CI10" s="46" t="s">
        <v>111</v>
      </c>
      <c r="CJ10" s="46" t="s">
        <v>109</v>
      </c>
      <c r="CK10" s="46" t="s">
        <v>130</v>
      </c>
      <c r="CL10" s="46" t="s">
        <v>111</v>
      </c>
      <c r="CM10" s="46" t="s">
        <v>109</v>
      </c>
      <c r="CN10" s="46" t="s">
        <v>130</v>
      </c>
      <c r="CO10" s="46" t="s">
        <v>111</v>
      </c>
      <c r="CP10" s="46" t="s">
        <v>109</v>
      </c>
    </row>
    <row r="11" spans="1:94">
      <c r="A11" s="4" t="s">
        <v>157</v>
      </c>
      <c r="B11" s="4">
        <v>3</v>
      </c>
      <c r="C11" s="29">
        <v>40876</v>
      </c>
      <c r="D11" s="29" t="s">
        <v>91</v>
      </c>
      <c r="E11" s="4">
        <v>1982</v>
      </c>
      <c r="F11" s="4" t="s">
        <v>143</v>
      </c>
      <c r="G11" s="4" t="s">
        <v>93</v>
      </c>
      <c r="H11" s="4" t="s">
        <v>121</v>
      </c>
      <c r="I11" s="4" t="s">
        <v>113</v>
      </c>
      <c r="J11" s="45" t="s">
        <v>132</v>
      </c>
      <c r="K11" s="45" t="s">
        <v>97</v>
      </c>
      <c r="L11" s="4" t="s">
        <v>99</v>
      </c>
      <c r="M11" s="4" t="s">
        <v>114</v>
      </c>
      <c r="N11" s="4" t="s">
        <v>161</v>
      </c>
      <c r="O11" s="4">
        <v>4</v>
      </c>
      <c r="P11" s="4">
        <v>0</v>
      </c>
      <c r="Q11" s="4" t="s">
        <v>101</v>
      </c>
      <c r="R11" s="4" t="s">
        <v>162</v>
      </c>
      <c r="S11" s="4" t="s">
        <v>141</v>
      </c>
      <c r="T11" s="4" t="s">
        <v>163</v>
      </c>
      <c r="U11" s="4" t="s">
        <v>164</v>
      </c>
      <c r="V11" s="4">
        <v>4</v>
      </c>
      <c r="W11" s="4">
        <v>3</v>
      </c>
      <c r="X11" s="4">
        <v>4</v>
      </c>
      <c r="Y11" s="4" t="s">
        <v>118</v>
      </c>
      <c r="Z11" s="4" t="s">
        <v>107</v>
      </c>
      <c r="AA11" s="4" t="s">
        <v>107</v>
      </c>
      <c r="AB11" s="4" t="s">
        <v>101</v>
      </c>
      <c r="AC11" s="4" t="s">
        <v>107</v>
      </c>
      <c r="AD11" s="4" t="s">
        <v>107</v>
      </c>
      <c r="AE11" s="4" t="s">
        <v>107</v>
      </c>
      <c r="AF11" s="4" t="s">
        <v>107</v>
      </c>
      <c r="AG11" s="47" t="s">
        <v>165</v>
      </c>
      <c r="AH11" s="4" t="s">
        <v>101</v>
      </c>
      <c r="AI11" s="4" t="s">
        <v>107</v>
      </c>
      <c r="AJ11" s="4" t="s">
        <v>107</v>
      </c>
      <c r="AK11" s="4" t="s">
        <v>101</v>
      </c>
      <c r="AL11" s="4" t="s">
        <v>107</v>
      </c>
      <c r="AM11" s="4" t="s">
        <v>107</v>
      </c>
      <c r="AN11" s="4" t="s">
        <v>107</v>
      </c>
      <c r="AO11" s="4" t="s">
        <v>107</v>
      </c>
      <c r="AP11" s="47" t="s">
        <v>165</v>
      </c>
      <c r="AQ11" s="4" t="s">
        <v>101</v>
      </c>
      <c r="AR11" s="4">
        <v>1</v>
      </c>
      <c r="AS11" s="4" t="s">
        <v>101</v>
      </c>
      <c r="AT11" s="4">
        <v>1</v>
      </c>
      <c r="AU11" s="4">
        <v>1</v>
      </c>
      <c r="AV11" s="4">
        <v>1</v>
      </c>
      <c r="AW11" s="4">
        <v>1</v>
      </c>
      <c r="AX11" s="4" t="s">
        <v>101</v>
      </c>
      <c r="AY11" s="4" t="s">
        <v>101</v>
      </c>
      <c r="AZ11" s="4" t="s">
        <v>101</v>
      </c>
      <c r="BA11" s="4">
        <v>1</v>
      </c>
      <c r="BB11" s="4">
        <v>1</v>
      </c>
      <c r="BC11" s="4">
        <v>1</v>
      </c>
      <c r="BD11" s="4">
        <v>1</v>
      </c>
      <c r="BE11" s="4" t="s">
        <v>101</v>
      </c>
      <c r="BF11" s="4" t="s">
        <v>101</v>
      </c>
      <c r="BG11" s="4" t="s">
        <v>101</v>
      </c>
      <c r="BH11" s="4" t="s">
        <v>101</v>
      </c>
      <c r="BI11" s="4" t="s">
        <v>101</v>
      </c>
      <c r="BJ11" s="4" t="s">
        <v>101</v>
      </c>
      <c r="BK11" s="4" t="s">
        <v>101</v>
      </c>
      <c r="BL11" s="4" t="s">
        <v>101</v>
      </c>
      <c r="BM11" s="4">
        <v>1</v>
      </c>
      <c r="BN11" s="4">
        <v>1</v>
      </c>
      <c r="BO11" s="4">
        <v>1</v>
      </c>
      <c r="BP11" s="4" t="s">
        <v>101</v>
      </c>
      <c r="BQ11" s="4" t="s">
        <v>101</v>
      </c>
      <c r="BR11" s="4">
        <v>1</v>
      </c>
      <c r="BS11" s="4">
        <v>1</v>
      </c>
      <c r="BT11" s="4" t="s">
        <v>101</v>
      </c>
      <c r="BU11" s="4" t="s">
        <v>101</v>
      </c>
      <c r="BV11" s="4">
        <v>1</v>
      </c>
      <c r="BW11" s="4" t="s">
        <v>101</v>
      </c>
      <c r="BX11" s="4" t="s">
        <v>101</v>
      </c>
      <c r="BY11" s="4" t="s">
        <v>101</v>
      </c>
      <c r="BZ11" s="4" t="s">
        <v>101</v>
      </c>
      <c r="CA11" s="4" t="s">
        <v>101</v>
      </c>
      <c r="CB11" s="19" t="s">
        <v>109</v>
      </c>
      <c r="CC11" s="19" t="s">
        <v>109</v>
      </c>
      <c r="CD11" s="19" t="s">
        <v>109</v>
      </c>
      <c r="CE11" s="19" t="s">
        <v>109</v>
      </c>
      <c r="CF11" s="19" t="s">
        <v>109</v>
      </c>
      <c r="CG11" s="19" t="s">
        <v>109</v>
      </c>
      <c r="CH11" s="46" t="s">
        <v>130</v>
      </c>
      <c r="CI11" s="46" t="s">
        <v>109</v>
      </c>
      <c r="CJ11" s="46" t="s">
        <v>109</v>
      </c>
      <c r="CK11" s="46" t="s">
        <v>130</v>
      </c>
      <c r="CL11" s="46" t="s">
        <v>109</v>
      </c>
      <c r="CM11" s="46" t="s">
        <v>109</v>
      </c>
      <c r="CN11" s="46" t="s">
        <v>130</v>
      </c>
      <c r="CO11" s="46" t="s">
        <v>109</v>
      </c>
      <c r="CP11" s="46" t="s">
        <v>109</v>
      </c>
    </row>
    <row r="12" spans="1:94">
      <c r="A12" s="4" t="s">
        <v>157</v>
      </c>
      <c r="B12" s="4">
        <v>4</v>
      </c>
      <c r="C12" s="29">
        <v>40876</v>
      </c>
      <c r="D12" s="29" t="s">
        <v>91</v>
      </c>
      <c r="E12" s="4">
        <v>1985</v>
      </c>
      <c r="F12" s="4" t="s">
        <v>112</v>
      </c>
      <c r="G12" s="4" t="s">
        <v>93</v>
      </c>
      <c r="H12" s="4" t="s">
        <v>94</v>
      </c>
      <c r="I12" s="4" t="s">
        <v>166</v>
      </c>
      <c r="J12" s="45" t="s">
        <v>132</v>
      </c>
      <c r="K12" s="4" t="s">
        <v>166</v>
      </c>
      <c r="L12" s="45" t="s">
        <v>167</v>
      </c>
      <c r="M12" s="4" t="s">
        <v>168</v>
      </c>
      <c r="N12" s="4" t="s">
        <v>169</v>
      </c>
      <c r="O12" s="4">
        <v>5</v>
      </c>
      <c r="P12" s="4">
        <v>2</v>
      </c>
      <c r="Q12" s="4" t="s">
        <v>170</v>
      </c>
      <c r="R12" s="4" t="s">
        <v>170</v>
      </c>
      <c r="S12" s="4" t="s">
        <v>171</v>
      </c>
      <c r="T12" s="4" t="s">
        <v>104</v>
      </c>
      <c r="U12" s="4" t="s">
        <v>105</v>
      </c>
      <c r="V12" s="4">
        <v>5</v>
      </c>
      <c r="W12" s="4">
        <v>1</v>
      </c>
      <c r="X12" s="4">
        <v>7</v>
      </c>
      <c r="Y12" s="4" t="s">
        <v>118</v>
      </c>
      <c r="Z12" s="4" t="s">
        <v>107</v>
      </c>
      <c r="AA12" s="4" t="s">
        <v>107</v>
      </c>
      <c r="AB12" s="4" t="s">
        <v>107</v>
      </c>
      <c r="AC12" s="4" t="s">
        <v>101</v>
      </c>
      <c r="AD12" s="4" t="s">
        <v>108</v>
      </c>
      <c r="AE12" s="4" t="s">
        <v>108</v>
      </c>
      <c r="AF12" s="4" t="s">
        <v>107</v>
      </c>
      <c r="AG12" s="4" t="s">
        <v>101</v>
      </c>
      <c r="AH12" s="4" t="s">
        <v>101</v>
      </c>
      <c r="AI12" s="4" t="s">
        <v>107</v>
      </c>
      <c r="AJ12" s="4" t="s">
        <v>107</v>
      </c>
      <c r="AK12" s="4" t="s">
        <v>107</v>
      </c>
      <c r="AL12" s="4" t="s">
        <v>101</v>
      </c>
      <c r="AM12" s="4" t="s">
        <v>108</v>
      </c>
      <c r="AN12" s="4" t="s">
        <v>108</v>
      </c>
      <c r="AO12" s="4" t="s">
        <v>107</v>
      </c>
      <c r="AP12" s="4" t="s">
        <v>101</v>
      </c>
      <c r="AQ12" s="4" t="s">
        <v>101</v>
      </c>
      <c r="AR12" s="4">
        <v>0</v>
      </c>
      <c r="AS12" s="4">
        <v>1</v>
      </c>
      <c r="AT12" s="4">
        <v>1</v>
      </c>
      <c r="AU12" s="4">
        <v>0</v>
      </c>
      <c r="AV12" s="4">
        <v>0</v>
      </c>
      <c r="AW12" s="4">
        <v>0</v>
      </c>
      <c r="AX12" s="4" t="s">
        <v>101</v>
      </c>
      <c r="AY12" s="4" t="s">
        <v>101</v>
      </c>
      <c r="AZ12" s="4">
        <v>1</v>
      </c>
      <c r="BA12" s="4" t="s">
        <v>101</v>
      </c>
      <c r="BB12" s="4">
        <v>0</v>
      </c>
      <c r="BC12" s="4">
        <v>0</v>
      </c>
      <c r="BD12" s="4">
        <v>0</v>
      </c>
      <c r="BE12" s="4" t="s">
        <v>101</v>
      </c>
      <c r="BF12" s="4" t="s">
        <v>101</v>
      </c>
      <c r="BG12" s="4" t="s">
        <v>101</v>
      </c>
      <c r="BH12" s="4">
        <v>0</v>
      </c>
      <c r="BI12" s="4">
        <v>0</v>
      </c>
      <c r="BJ12" s="4">
        <v>1</v>
      </c>
      <c r="BK12" s="4" t="s">
        <v>101</v>
      </c>
      <c r="BL12" s="4" t="s">
        <v>101</v>
      </c>
      <c r="BM12" s="4" t="s">
        <v>101</v>
      </c>
      <c r="BN12" s="4" t="s">
        <v>101</v>
      </c>
      <c r="BO12" s="4" t="s">
        <v>101</v>
      </c>
      <c r="BP12" s="4" t="s">
        <v>101</v>
      </c>
      <c r="BQ12" s="4" t="s">
        <v>101</v>
      </c>
      <c r="BR12" s="4">
        <v>0</v>
      </c>
      <c r="BS12" s="4">
        <v>0</v>
      </c>
      <c r="BT12" s="4" t="s">
        <v>101</v>
      </c>
      <c r="BU12" s="4" t="s">
        <v>101</v>
      </c>
      <c r="BV12" s="4">
        <v>0</v>
      </c>
      <c r="BW12" s="4" t="s">
        <v>101</v>
      </c>
      <c r="BX12" s="4" t="s">
        <v>101</v>
      </c>
      <c r="BY12" s="4" t="s">
        <v>101</v>
      </c>
      <c r="BZ12" s="4" t="s">
        <v>101</v>
      </c>
      <c r="CA12" s="4" t="s">
        <v>101</v>
      </c>
      <c r="CB12" s="19" t="s">
        <v>109</v>
      </c>
      <c r="CC12" s="19" t="s">
        <v>109</v>
      </c>
      <c r="CD12" s="19" t="s">
        <v>109</v>
      </c>
      <c r="CE12" s="19" t="s">
        <v>111</v>
      </c>
      <c r="CF12" s="19" t="s">
        <v>111</v>
      </c>
      <c r="CG12" s="19" t="s">
        <v>109</v>
      </c>
      <c r="CH12" s="46" t="s">
        <v>110</v>
      </c>
      <c r="CI12" s="46" t="s">
        <v>109</v>
      </c>
      <c r="CJ12" s="46" t="s">
        <v>109</v>
      </c>
      <c r="CK12" s="46" t="s">
        <v>110</v>
      </c>
      <c r="CL12" s="46" t="s">
        <v>109</v>
      </c>
      <c r="CM12" s="46" t="s">
        <v>109</v>
      </c>
      <c r="CN12" s="46" t="s">
        <v>110</v>
      </c>
      <c r="CO12" s="46" t="s">
        <v>111</v>
      </c>
      <c r="CP12" s="46" t="s">
        <v>109</v>
      </c>
    </row>
    <row r="13" spans="1:94">
      <c r="A13" s="4" t="s">
        <v>157</v>
      </c>
      <c r="B13" s="4">
        <v>5</v>
      </c>
      <c r="C13" s="29">
        <v>40876</v>
      </c>
      <c r="D13" s="29" t="s">
        <v>91</v>
      </c>
      <c r="E13" s="4">
        <v>1989</v>
      </c>
      <c r="F13" s="4" t="s">
        <v>112</v>
      </c>
      <c r="G13" s="4" t="s">
        <v>131</v>
      </c>
      <c r="H13" s="4" t="s">
        <v>94</v>
      </c>
      <c r="I13" s="4" t="s">
        <v>166</v>
      </c>
      <c r="J13" s="45" t="s">
        <v>96</v>
      </c>
      <c r="K13" s="45" t="s">
        <v>97</v>
      </c>
      <c r="L13" s="4" t="s">
        <v>133</v>
      </c>
      <c r="M13" s="4" t="s">
        <v>114</v>
      </c>
      <c r="N13" s="4" t="s">
        <v>172</v>
      </c>
      <c r="O13" s="4">
        <v>6</v>
      </c>
      <c r="P13" s="4">
        <v>2</v>
      </c>
      <c r="Q13" s="4" t="s">
        <v>101</v>
      </c>
      <c r="R13" s="4" t="s">
        <v>173</v>
      </c>
      <c r="S13" s="4" t="s">
        <v>174</v>
      </c>
      <c r="T13" s="4" t="s">
        <v>175</v>
      </c>
      <c r="U13" s="4" t="s">
        <v>101</v>
      </c>
      <c r="V13" s="4">
        <v>0</v>
      </c>
      <c r="W13" s="4">
        <v>0</v>
      </c>
      <c r="X13" s="4">
        <v>0</v>
      </c>
      <c r="Y13" s="4" t="s">
        <v>106</v>
      </c>
      <c r="Z13" s="4" t="s">
        <v>108</v>
      </c>
      <c r="AA13" s="4" t="s">
        <v>108</v>
      </c>
      <c r="AB13" s="4" t="s">
        <v>108</v>
      </c>
      <c r="AC13" s="4" t="s">
        <v>108</v>
      </c>
      <c r="AD13" s="4" t="s">
        <v>101</v>
      </c>
      <c r="AE13" s="4" t="s">
        <v>108</v>
      </c>
      <c r="AF13" s="4" t="s">
        <v>108</v>
      </c>
      <c r="AG13" s="4" t="s">
        <v>101</v>
      </c>
      <c r="AH13" s="4" t="s">
        <v>101</v>
      </c>
      <c r="AI13" s="4" t="s">
        <v>108</v>
      </c>
      <c r="AJ13" s="4" t="s">
        <v>108</v>
      </c>
      <c r="AK13" s="4" t="s">
        <v>108</v>
      </c>
      <c r="AL13" s="4" t="s">
        <v>108</v>
      </c>
      <c r="AM13" s="4" t="s">
        <v>101</v>
      </c>
      <c r="AN13" s="4" t="s">
        <v>108</v>
      </c>
      <c r="AO13" s="4" t="s">
        <v>108</v>
      </c>
      <c r="AP13" s="4" t="s">
        <v>101</v>
      </c>
      <c r="AQ13" s="4" t="s">
        <v>101</v>
      </c>
      <c r="AR13" s="4">
        <v>0</v>
      </c>
      <c r="AS13" s="4">
        <v>1</v>
      </c>
      <c r="AT13" s="4">
        <v>1</v>
      </c>
      <c r="AU13" s="4" t="s">
        <v>101</v>
      </c>
      <c r="AV13" s="4">
        <v>0</v>
      </c>
      <c r="AW13" s="4">
        <v>0</v>
      </c>
      <c r="AX13" s="4" t="s">
        <v>101</v>
      </c>
      <c r="AY13" s="4" t="s">
        <v>101</v>
      </c>
      <c r="AZ13" s="4">
        <v>0</v>
      </c>
      <c r="BA13" s="4"/>
      <c r="BB13" s="4" t="s">
        <v>101</v>
      </c>
      <c r="BC13" s="4">
        <v>0</v>
      </c>
      <c r="BD13" s="4">
        <v>0</v>
      </c>
      <c r="BE13" s="4" t="s">
        <v>101</v>
      </c>
      <c r="BF13" s="4" t="s">
        <v>101</v>
      </c>
      <c r="BG13" s="4">
        <v>1</v>
      </c>
      <c r="BH13" s="4" t="s">
        <v>101</v>
      </c>
      <c r="BI13" s="4">
        <v>0</v>
      </c>
      <c r="BJ13" s="4">
        <v>0</v>
      </c>
      <c r="BK13" s="4" t="s">
        <v>101</v>
      </c>
      <c r="BL13" s="4" t="s">
        <v>101</v>
      </c>
      <c r="BM13" s="4" t="s">
        <v>101</v>
      </c>
      <c r="BN13" s="4">
        <v>0</v>
      </c>
      <c r="BO13" s="4">
        <v>0</v>
      </c>
      <c r="BP13" s="4" t="s">
        <v>101</v>
      </c>
      <c r="BQ13" s="4" t="s">
        <v>101</v>
      </c>
      <c r="BR13" s="4" t="s">
        <v>101</v>
      </c>
      <c r="BS13" s="4" t="s">
        <v>101</v>
      </c>
      <c r="BT13" s="4" t="s">
        <v>101</v>
      </c>
      <c r="BU13" s="4" t="s">
        <v>101</v>
      </c>
      <c r="BV13" s="4">
        <v>0</v>
      </c>
      <c r="BW13" s="4" t="s">
        <v>101</v>
      </c>
      <c r="BX13" s="4" t="s">
        <v>101</v>
      </c>
      <c r="BY13" s="4" t="s">
        <v>101</v>
      </c>
      <c r="BZ13" s="4" t="s">
        <v>101</v>
      </c>
      <c r="CA13" s="4" t="s">
        <v>101</v>
      </c>
      <c r="CB13" s="19" t="s">
        <v>111</v>
      </c>
      <c r="CC13" s="19" t="s">
        <v>111</v>
      </c>
      <c r="CD13" s="19" t="s">
        <v>111</v>
      </c>
      <c r="CE13" s="19" t="s">
        <v>111</v>
      </c>
      <c r="CF13" s="19" t="s">
        <v>111</v>
      </c>
      <c r="CG13" s="19" t="s">
        <v>111</v>
      </c>
      <c r="CH13" s="46" t="s">
        <v>101</v>
      </c>
      <c r="CI13" s="46" t="s">
        <v>101</v>
      </c>
      <c r="CJ13" s="46" t="s">
        <v>101</v>
      </c>
      <c r="CK13" s="46" t="s">
        <v>101</v>
      </c>
      <c r="CL13" s="46" t="s">
        <v>101</v>
      </c>
      <c r="CM13" s="46" t="s">
        <v>101</v>
      </c>
      <c r="CN13" s="46" t="s">
        <v>101</v>
      </c>
      <c r="CO13" s="46" t="s">
        <v>101</v>
      </c>
      <c r="CP13" s="46" t="s">
        <v>101</v>
      </c>
    </row>
    <row r="14" spans="1:94">
      <c r="A14" s="4" t="s">
        <v>157</v>
      </c>
      <c r="B14" s="4">
        <v>6</v>
      </c>
      <c r="C14" s="29">
        <v>40883</v>
      </c>
      <c r="D14" s="29" t="s">
        <v>91</v>
      </c>
      <c r="E14" s="4">
        <v>1987</v>
      </c>
      <c r="F14" s="4" t="s">
        <v>112</v>
      </c>
      <c r="G14" s="4" t="s">
        <v>176</v>
      </c>
      <c r="H14" s="4" t="s">
        <v>94</v>
      </c>
      <c r="I14" s="4" t="s">
        <v>166</v>
      </c>
      <c r="J14" s="45" t="s">
        <v>132</v>
      </c>
      <c r="K14" s="45" t="s">
        <v>122</v>
      </c>
      <c r="L14" s="4" t="s">
        <v>99</v>
      </c>
      <c r="M14" s="4" t="s">
        <v>99</v>
      </c>
      <c r="N14" s="4" t="s">
        <v>177</v>
      </c>
      <c r="O14" s="4">
        <v>10</v>
      </c>
      <c r="P14" s="4">
        <v>5</v>
      </c>
      <c r="Q14" s="4" t="s">
        <v>101</v>
      </c>
      <c r="R14" s="4" t="s">
        <v>178</v>
      </c>
      <c r="S14" s="4" t="s">
        <v>174</v>
      </c>
      <c r="T14" s="4" t="s">
        <v>179</v>
      </c>
      <c r="U14" s="4" t="s">
        <v>180</v>
      </c>
      <c r="V14" s="4">
        <v>1</v>
      </c>
      <c r="W14" s="4">
        <v>1</v>
      </c>
      <c r="X14" s="4">
        <v>3</v>
      </c>
      <c r="Y14" s="4" t="s">
        <v>119</v>
      </c>
      <c r="Z14" s="4" t="s">
        <v>108</v>
      </c>
      <c r="AA14" s="4" t="s">
        <v>108</v>
      </c>
      <c r="AB14" s="4" t="s">
        <v>108</v>
      </c>
      <c r="AC14" s="4" t="s">
        <v>108</v>
      </c>
      <c r="AD14" s="4" t="s">
        <v>108</v>
      </c>
      <c r="AE14" s="4" t="s">
        <v>101</v>
      </c>
      <c r="AF14" s="4" t="s">
        <v>108</v>
      </c>
      <c r="AG14" s="4" t="s">
        <v>101</v>
      </c>
      <c r="AH14" s="4" t="s">
        <v>101</v>
      </c>
      <c r="AI14" s="4" t="s">
        <v>108</v>
      </c>
      <c r="AJ14" s="4" t="s">
        <v>108</v>
      </c>
      <c r="AK14" s="4" t="s">
        <v>108</v>
      </c>
      <c r="AL14" s="4" t="s">
        <v>108</v>
      </c>
      <c r="AM14" s="4" t="s">
        <v>108</v>
      </c>
      <c r="AN14" s="4" t="s">
        <v>101</v>
      </c>
      <c r="AO14" s="4" t="s">
        <v>108</v>
      </c>
      <c r="AP14" s="4" t="s">
        <v>101</v>
      </c>
      <c r="AQ14" s="4" t="s">
        <v>101</v>
      </c>
      <c r="AR14" s="4">
        <v>0</v>
      </c>
      <c r="AS14" s="4">
        <v>1</v>
      </c>
      <c r="AT14" s="4">
        <v>0</v>
      </c>
      <c r="AU14" s="4">
        <v>0</v>
      </c>
      <c r="AV14" s="4" t="s">
        <v>101</v>
      </c>
      <c r="AW14" s="4">
        <v>0</v>
      </c>
      <c r="AX14" s="4" t="s">
        <v>101</v>
      </c>
      <c r="AY14" s="4" t="s">
        <v>101</v>
      </c>
      <c r="AZ14" s="4">
        <v>1</v>
      </c>
      <c r="BA14" s="4">
        <v>1</v>
      </c>
      <c r="BB14" s="4">
        <v>0</v>
      </c>
      <c r="BC14" s="4" t="s">
        <v>101</v>
      </c>
      <c r="BD14" s="4">
        <v>1</v>
      </c>
      <c r="BE14" s="4" t="s">
        <v>101</v>
      </c>
      <c r="BF14" s="4" t="s">
        <v>101</v>
      </c>
      <c r="BG14" s="4">
        <v>1</v>
      </c>
      <c r="BH14" s="4">
        <v>0</v>
      </c>
      <c r="BI14" s="4" t="s">
        <v>101</v>
      </c>
      <c r="BJ14" s="4">
        <v>1</v>
      </c>
      <c r="BK14" s="4" t="s">
        <v>101</v>
      </c>
      <c r="BL14" s="4" t="s">
        <v>101</v>
      </c>
      <c r="BM14" s="4">
        <v>0</v>
      </c>
      <c r="BN14" s="4" t="s">
        <v>101</v>
      </c>
      <c r="BO14" s="4">
        <v>1</v>
      </c>
      <c r="BP14" s="4" t="s">
        <v>101</v>
      </c>
      <c r="BQ14" s="4" t="s">
        <v>101</v>
      </c>
      <c r="BR14" s="4" t="s">
        <v>101</v>
      </c>
      <c r="BS14" s="4">
        <v>0</v>
      </c>
      <c r="BT14" s="4" t="s">
        <v>101</v>
      </c>
      <c r="BU14" s="4" t="s">
        <v>101</v>
      </c>
      <c r="BV14" s="4" t="s">
        <v>101</v>
      </c>
      <c r="BW14" s="4" t="s">
        <v>101</v>
      </c>
      <c r="BX14" s="4" t="s">
        <v>101</v>
      </c>
      <c r="BY14" s="4" t="s">
        <v>101</v>
      </c>
      <c r="BZ14" s="4" t="s">
        <v>101</v>
      </c>
      <c r="CA14" s="4" t="s">
        <v>101</v>
      </c>
      <c r="CB14" s="19" t="s">
        <v>111</v>
      </c>
      <c r="CC14" s="19" t="s">
        <v>111</v>
      </c>
      <c r="CD14" s="19" t="s">
        <v>111</v>
      </c>
      <c r="CE14" s="19" t="s">
        <v>111</v>
      </c>
      <c r="CF14" s="19" t="s">
        <v>111</v>
      </c>
      <c r="CG14" s="19" t="s">
        <v>111</v>
      </c>
      <c r="CH14" s="46" t="s">
        <v>110</v>
      </c>
      <c r="CI14" s="46" t="s">
        <v>111</v>
      </c>
      <c r="CJ14" s="46" t="s">
        <v>111</v>
      </c>
      <c r="CK14" s="46" t="s">
        <v>110</v>
      </c>
      <c r="CL14" s="46" t="s">
        <v>111</v>
      </c>
      <c r="CM14" s="46" t="s">
        <v>111</v>
      </c>
      <c r="CN14" s="46" t="s">
        <v>110</v>
      </c>
      <c r="CO14" s="46" t="s">
        <v>111</v>
      </c>
      <c r="CP14" s="46" t="s">
        <v>111</v>
      </c>
    </row>
    <row r="15" spans="1:94">
      <c r="A15" s="4" t="s">
        <v>157</v>
      </c>
      <c r="B15" s="4">
        <v>7</v>
      </c>
      <c r="C15" s="29">
        <v>40876</v>
      </c>
      <c r="D15" s="29" t="s">
        <v>91</v>
      </c>
      <c r="E15" s="4">
        <v>1986</v>
      </c>
      <c r="F15" s="4" t="s">
        <v>112</v>
      </c>
      <c r="G15" s="4" t="s">
        <v>93</v>
      </c>
      <c r="H15" s="4" t="s">
        <v>121</v>
      </c>
      <c r="I15" s="4" t="s">
        <v>166</v>
      </c>
      <c r="J15" s="45" t="s">
        <v>132</v>
      </c>
      <c r="K15" s="45" t="s">
        <v>97</v>
      </c>
      <c r="L15" s="4" t="s">
        <v>98</v>
      </c>
      <c r="M15" s="4" t="s">
        <v>124</v>
      </c>
      <c r="N15" s="4" t="s">
        <v>181</v>
      </c>
      <c r="O15" s="4">
        <v>7</v>
      </c>
      <c r="P15" s="4">
        <v>3</v>
      </c>
      <c r="Q15" s="4" t="s">
        <v>101</v>
      </c>
      <c r="R15" s="4" t="s">
        <v>182</v>
      </c>
      <c r="S15" s="4" t="s">
        <v>141</v>
      </c>
      <c r="T15" s="4" t="s">
        <v>137</v>
      </c>
      <c r="U15" s="4" t="s">
        <v>101</v>
      </c>
      <c r="V15" s="4">
        <v>4</v>
      </c>
      <c r="W15" s="4">
        <v>3</v>
      </c>
      <c r="X15" s="4">
        <v>1</v>
      </c>
      <c r="Y15" s="4" t="s">
        <v>119</v>
      </c>
      <c r="Z15" s="4" t="s">
        <v>108</v>
      </c>
      <c r="AA15" s="4" t="s">
        <v>108</v>
      </c>
      <c r="AB15" s="4" t="s">
        <v>108</v>
      </c>
      <c r="AC15" s="4" t="s">
        <v>108</v>
      </c>
      <c r="AD15" s="4" t="s">
        <v>108</v>
      </c>
      <c r="AE15" s="4" t="s">
        <v>108</v>
      </c>
      <c r="AF15" s="4" t="s">
        <v>101</v>
      </c>
      <c r="AG15" s="4" t="s">
        <v>101</v>
      </c>
      <c r="AH15" s="4" t="s">
        <v>101</v>
      </c>
      <c r="AI15" s="4" t="s">
        <v>108</v>
      </c>
      <c r="AJ15" s="4" t="s">
        <v>108</v>
      </c>
      <c r="AK15" s="4" t="s">
        <v>108</v>
      </c>
      <c r="AL15" s="4" t="s">
        <v>108</v>
      </c>
      <c r="AM15" s="4" t="s">
        <v>119</v>
      </c>
      <c r="AN15" s="4" t="s">
        <v>108</v>
      </c>
      <c r="AO15" s="4" t="s">
        <v>101</v>
      </c>
      <c r="AP15" s="4" t="s">
        <v>101</v>
      </c>
      <c r="AQ15" s="4" t="s">
        <v>101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 t="s">
        <v>101</v>
      </c>
      <c r="AX15" s="4" t="s">
        <v>101</v>
      </c>
      <c r="AY15" s="4" t="s">
        <v>101</v>
      </c>
      <c r="AZ15" s="4">
        <v>1</v>
      </c>
      <c r="BA15" s="4">
        <v>1</v>
      </c>
      <c r="BB15" s="4">
        <v>1</v>
      </c>
      <c r="BC15" s="4">
        <v>1</v>
      </c>
      <c r="BD15" s="4" t="s">
        <v>101</v>
      </c>
      <c r="BE15" s="4" t="s">
        <v>101</v>
      </c>
      <c r="BF15" s="4" t="s">
        <v>101</v>
      </c>
      <c r="BG15" s="4">
        <v>1</v>
      </c>
      <c r="BH15" s="4">
        <v>1</v>
      </c>
      <c r="BI15" s="4">
        <v>1</v>
      </c>
      <c r="BJ15" s="4" t="s">
        <v>101</v>
      </c>
      <c r="BK15" s="4" t="s">
        <v>101</v>
      </c>
      <c r="BL15" s="4" t="s">
        <v>101</v>
      </c>
      <c r="BM15" s="4">
        <v>1</v>
      </c>
      <c r="BN15" s="4">
        <v>1</v>
      </c>
      <c r="BO15" s="4" t="s">
        <v>101</v>
      </c>
      <c r="BP15" s="4" t="s">
        <v>101</v>
      </c>
      <c r="BQ15" s="4" t="s">
        <v>101</v>
      </c>
      <c r="BR15" s="4">
        <v>1</v>
      </c>
      <c r="BS15" s="4" t="s">
        <v>101</v>
      </c>
      <c r="BT15" s="4" t="s">
        <v>101</v>
      </c>
      <c r="BU15" s="4" t="s">
        <v>101</v>
      </c>
      <c r="BV15" s="4" t="s">
        <v>101</v>
      </c>
      <c r="BW15" s="4" t="s">
        <v>101</v>
      </c>
      <c r="BX15" s="4" t="s">
        <v>101</v>
      </c>
      <c r="BY15" s="4" t="s">
        <v>101</v>
      </c>
      <c r="BZ15" s="4" t="s">
        <v>101</v>
      </c>
      <c r="CA15" s="4" t="s">
        <v>101</v>
      </c>
      <c r="CB15" s="19" t="s">
        <v>109</v>
      </c>
      <c r="CC15" s="19" t="s">
        <v>109</v>
      </c>
      <c r="CD15" s="19" t="s">
        <v>111</v>
      </c>
      <c r="CE15" s="19" t="s">
        <v>109</v>
      </c>
      <c r="CF15" s="19" t="s">
        <v>111</v>
      </c>
      <c r="CG15" s="19" t="s">
        <v>109</v>
      </c>
      <c r="CH15" s="46" t="s">
        <v>130</v>
      </c>
      <c r="CI15" s="46" t="s">
        <v>109</v>
      </c>
      <c r="CJ15" s="46" t="s">
        <v>109</v>
      </c>
      <c r="CK15" s="46" t="s">
        <v>130</v>
      </c>
      <c r="CL15" s="46" t="s">
        <v>109</v>
      </c>
      <c r="CM15" s="46" t="s">
        <v>109</v>
      </c>
      <c r="CN15" s="46" t="s">
        <v>130</v>
      </c>
      <c r="CO15" s="46" t="s">
        <v>109</v>
      </c>
      <c r="CP15" s="46" t="s">
        <v>109</v>
      </c>
    </row>
    <row r="16" spans="1:94">
      <c r="A16" s="4" t="s">
        <v>157</v>
      </c>
      <c r="B16" s="4">
        <v>8</v>
      </c>
      <c r="C16" s="29">
        <v>40876</v>
      </c>
      <c r="D16" s="29" t="s">
        <v>91</v>
      </c>
      <c r="E16" s="4">
        <v>1986</v>
      </c>
      <c r="F16" s="4" t="s">
        <v>183</v>
      </c>
      <c r="G16" s="4" t="s">
        <v>93</v>
      </c>
      <c r="H16" s="4" t="s">
        <v>94</v>
      </c>
      <c r="I16" s="4" t="s">
        <v>166</v>
      </c>
      <c r="J16" s="45" t="s">
        <v>96</v>
      </c>
      <c r="K16" s="45" t="s">
        <v>97</v>
      </c>
      <c r="L16" s="4" t="s">
        <v>98</v>
      </c>
      <c r="M16" s="4" t="s">
        <v>99</v>
      </c>
      <c r="N16" s="4" t="s">
        <v>184</v>
      </c>
      <c r="O16" s="4">
        <v>5</v>
      </c>
      <c r="P16" s="4">
        <v>4</v>
      </c>
      <c r="Q16" s="4" t="s">
        <v>185</v>
      </c>
      <c r="R16" s="4" t="s">
        <v>186</v>
      </c>
      <c r="S16" s="4" t="s">
        <v>141</v>
      </c>
      <c r="T16" s="4" t="s">
        <v>187</v>
      </c>
      <c r="U16" s="4" t="s">
        <v>105</v>
      </c>
      <c r="V16" s="4">
        <v>4</v>
      </c>
      <c r="W16" s="4">
        <v>4</v>
      </c>
      <c r="X16" s="4">
        <v>10</v>
      </c>
      <c r="Y16" s="4" t="s">
        <v>118</v>
      </c>
      <c r="Z16" s="4" t="s">
        <v>107</v>
      </c>
      <c r="AA16" s="4" t="s">
        <v>107</v>
      </c>
      <c r="AB16" s="4" t="s">
        <v>107</v>
      </c>
      <c r="AC16" s="4" t="s">
        <v>107</v>
      </c>
      <c r="AD16" s="4" t="s">
        <v>108</v>
      </c>
      <c r="AE16" s="4" t="s">
        <v>108</v>
      </c>
      <c r="AF16" s="4" t="s">
        <v>107</v>
      </c>
      <c r="AG16" s="4" t="s">
        <v>101</v>
      </c>
      <c r="AH16" s="4" t="s">
        <v>101</v>
      </c>
      <c r="AI16" s="4" t="s">
        <v>107</v>
      </c>
      <c r="AJ16" s="4" t="s">
        <v>107</v>
      </c>
      <c r="AK16" s="4" t="s">
        <v>107</v>
      </c>
      <c r="AL16" s="4" t="s">
        <v>107</v>
      </c>
      <c r="AM16" s="4" t="s">
        <v>108</v>
      </c>
      <c r="AN16" s="4" t="s">
        <v>108</v>
      </c>
      <c r="AO16" s="4" t="s">
        <v>107</v>
      </c>
      <c r="AP16" s="4" t="s">
        <v>101</v>
      </c>
      <c r="AQ16" s="4" t="s">
        <v>101</v>
      </c>
      <c r="AR16" s="4">
        <v>0</v>
      </c>
      <c r="AS16" s="4">
        <v>1</v>
      </c>
      <c r="AT16" s="4">
        <v>1</v>
      </c>
      <c r="AU16" s="4">
        <v>1</v>
      </c>
      <c r="AV16" s="4">
        <v>0</v>
      </c>
      <c r="AW16" s="4">
        <v>1</v>
      </c>
      <c r="AX16" s="4" t="s">
        <v>101</v>
      </c>
      <c r="AY16" s="4" t="s">
        <v>101</v>
      </c>
      <c r="AZ16" s="4">
        <v>1</v>
      </c>
      <c r="BA16" s="4">
        <v>1</v>
      </c>
      <c r="BB16" s="4">
        <v>0</v>
      </c>
      <c r="BC16" s="4">
        <v>1</v>
      </c>
      <c r="BD16" s="4">
        <v>1</v>
      </c>
      <c r="BE16" s="4" t="s">
        <v>101</v>
      </c>
      <c r="BF16" s="4" t="s">
        <v>101</v>
      </c>
      <c r="BG16" s="4">
        <v>1</v>
      </c>
      <c r="BH16" s="4">
        <v>1</v>
      </c>
      <c r="BI16" s="4">
        <v>1</v>
      </c>
      <c r="BJ16" s="4">
        <v>1</v>
      </c>
      <c r="BK16" s="4" t="s">
        <v>101</v>
      </c>
      <c r="BL16" s="4" t="s">
        <v>101</v>
      </c>
      <c r="BM16" s="4">
        <v>1</v>
      </c>
      <c r="BN16" s="4">
        <v>1</v>
      </c>
      <c r="BO16" s="4">
        <v>1</v>
      </c>
      <c r="BP16" s="4" t="s">
        <v>101</v>
      </c>
      <c r="BQ16" s="4" t="s">
        <v>101</v>
      </c>
      <c r="BR16" s="4">
        <v>1</v>
      </c>
      <c r="BS16" s="4">
        <v>1</v>
      </c>
      <c r="BT16" s="4" t="s">
        <v>101</v>
      </c>
      <c r="BU16" s="4" t="s">
        <v>101</v>
      </c>
      <c r="BV16" s="4">
        <v>0</v>
      </c>
      <c r="BW16" s="4" t="s">
        <v>101</v>
      </c>
      <c r="BX16" s="4" t="s">
        <v>101</v>
      </c>
      <c r="BY16" s="4" t="s">
        <v>101</v>
      </c>
      <c r="BZ16" s="4" t="s">
        <v>101</v>
      </c>
      <c r="CA16" s="4" t="s">
        <v>101</v>
      </c>
      <c r="CB16" s="19" t="s">
        <v>109</v>
      </c>
      <c r="CC16" s="19" t="s">
        <v>111</v>
      </c>
      <c r="CD16" s="19" t="s">
        <v>109</v>
      </c>
      <c r="CE16" s="19" t="s">
        <v>111</v>
      </c>
      <c r="CF16" s="19" t="s">
        <v>109</v>
      </c>
      <c r="CG16" s="19" t="s">
        <v>111</v>
      </c>
      <c r="CH16" s="46" t="s">
        <v>130</v>
      </c>
      <c r="CI16" s="46" t="s">
        <v>109</v>
      </c>
      <c r="CJ16" s="46" t="s">
        <v>111</v>
      </c>
      <c r="CK16" s="46" t="s">
        <v>130</v>
      </c>
      <c r="CL16" s="46" t="s">
        <v>109</v>
      </c>
      <c r="CM16" s="46" t="s">
        <v>111</v>
      </c>
      <c r="CN16" s="46" t="s">
        <v>130</v>
      </c>
      <c r="CO16" s="46" t="s">
        <v>109</v>
      </c>
      <c r="CP16" s="46" t="s">
        <v>111</v>
      </c>
    </row>
    <row r="17" spans="1:94">
      <c r="A17" s="4" t="s">
        <v>188</v>
      </c>
      <c r="B17" s="4">
        <v>1</v>
      </c>
      <c r="C17" s="29">
        <v>40876</v>
      </c>
      <c r="D17" s="29" t="s">
        <v>189</v>
      </c>
      <c r="E17" s="4">
        <v>1988</v>
      </c>
      <c r="F17" s="4" t="s">
        <v>138</v>
      </c>
      <c r="G17" s="4" t="s">
        <v>93</v>
      </c>
      <c r="H17" s="4" t="s">
        <v>94</v>
      </c>
      <c r="I17" s="4" t="s">
        <v>166</v>
      </c>
      <c r="J17" s="45" t="s">
        <v>132</v>
      </c>
      <c r="K17" s="45" t="s">
        <v>97</v>
      </c>
      <c r="L17" s="4" t="s">
        <v>98</v>
      </c>
      <c r="M17" s="4" t="s">
        <v>114</v>
      </c>
      <c r="N17" s="4" t="s">
        <v>190</v>
      </c>
      <c r="O17" s="4">
        <v>2</v>
      </c>
      <c r="P17" s="4">
        <v>2</v>
      </c>
      <c r="Q17" s="4" t="s">
        <v>101</v>
      </c>
      <c r="R17" s="4" t="s">
        <v>191</v>
      </c>
      <c r="S17" s="4" t="s">
        <v>192</v>
      </c>
      <c r="T17" s="4" t="s">
        <v>193</v>
      </c>
      <c r="U17" s="4" t="s">
        <v>194</v>
      </c>
      <c r="V17" s="4">
        <v>2</v>
      </c>
      <c r="W17" s="4">
        <v>1</v>
      </c>
      <c r="X17" s="4">
        <v>9</v>
      </c>
      <c r="Y17" s="4" t="s">
        <v>106</v>
      </c>
      <c r="Z17" s="4" t="s">
        <v>101</v>
      </c>
      <c r="AA17" s="4" t="s">
        <v>107</v>
      </c>
      <c r="AB17" s="4" t="s">
        <v>107</v>
      </c>
      <c r="AC17" s="4" t="s">
        <v>108</v>
      </c>
      <c r="AD17" s="4" t="s">
        <v>108</v>
      </c>
      <c r="AE17" s="4" t="s">
        <v>108</v>
      </c>
      <c r="AF17" s="4" t="s">
        <v>108</v>
      </c>
      <c r="AG17" s="4" t="s">
        <v>108</v>
      </c>
      <c r="AH17" s="4" t="s">
        <v>101</v>
      </c>
      <c r="AI17" s="4" t="s">
        <v>101</v>
      </c>
      <c r="AJ17" s="4" t="s">
        <v>107</v>
      </c>
      <c r="AK17" s="4" t="s">
        <v>108</v>
      </c>
      <c r="AL17" s="4" t="s">
        <v>108</v>
      </c>
      <c r="AM17" s="4" t="s">
        <v>108</v>
      </c>
      <c r="AN17" s="4" t="s">
        <v>108</v>
      </c>
      <c r="AO17" s="4" t="s">
        <v>108</v>
      </c>
      <c r="AP17" s="4" t="s">
        <v>108</v>
      </c>
      <c r="AQ17" s="4" t="s">
        <v>101</v>
      </c>
      <c r="AR17" s="4" t="s">
        <v>101</v>
      </c>
      <c r="AS17" s="4" t="s">
        <v>101</v>
      </c>
      <c r="AT17" s="4" t="s">
        <v>101</v>
      </c>
      <c r="AU17" s="4" t="s">
        <v>101</v>
      </c>
      <c r="AV17" s="4" t="s">
        <v>101</v>
      </c>
      <c r="AW17" s="4" t="s">
        <v>101</v>
      </c>
      <c r="AX17" s="4" t="s">
        <v>101</v>
      </c>
      <c r="AY17" s="4" t="s">
        <v>101</v>
      </c>
      <c r="AZ17" s="4">
        <v>1</v>
      </c>
      <c r="BA17" s="4">
        <v>0</v>
      </c>
      <c r="BB17" s="4">
        <v>0</v>
      </c>
      <c r="BC17" s="4">
        <v>1</v>
      </c>
      <c r="BD17" s="4">
        <v>1</v>
      </c>
      <c r="BE17" s="4">
        <v>0</v>
      </c>
      <c r="BF17" s="4" t="s">
        <v>101</v>
      </c>
      <c r="BG17" s="4">
        <v>1</v>
      </c>
      <c r="BH17" s="4">
        <v>0</v>
      </c>
      <c r="BI17" s="4">
        <v>0</v>
      </c>
      <c r="BJ17" s="4">
        <v>1</v>
      </c>
      <c r="BK17" s="4">
        <v>0</v>
      </c>
      <c r="BL17" s="4" t="s">
        <v>101</v>
      </c>
      <c r="BM17" s="4">
        <v>0</v>
      </c>
      <c r="BN17" s="4">
        <v>0</v>
      </c>
      <c r="BO17" s="4">
        <v>0</v>
      </c>
      <c r="BP17" s="4">
        <v>0</v>
      </c>
      <c r="BQ17" s="4" t="s">
        <v>101</v>
      </c>
      <c r="BR17" s="4">
        <v>0</v>
      </c>
      <c r="BS17" s="4">
        <v>1</v>
      </c>
      <c r="BT17" s="4">
        <v>0</v>
      </c>
      <c r="BU17" s="4" t="s">
        <v>101</v>
      </c>
      <c r="BV17" s="4">
        <v>0</v>
      </c>
      <c r="BW17" s="4">
        <v>0</v>
      </c>
      <c r="BX17" s="4" t="s">
        <v>101</v>
      </c>
      <c r="BY17" s="4">
        <v>0</v>
      </c>
      <c r="BZ17" s="4" t="s">
        <v>101</v>
      </c>
      <c r="CA17" s="4" t="s">
        <v>101</v>
      </c>
      <c r="CB17" s="19" t="s">
        <v>111</v>
      </c>
      <c r="CC17" s="19" t="s">
        <v>109</v>
      </c>
      <c r="CD17" s="19" t="s">
        <v>109</v>
      </c>
      <c r="CE17" s="19" t="s">
        <v>109</v>
      </c>
      <c r="CF17" s="19" t="s">
        <v>109</v>
      </c>
      <c r="CG17" s="19" t="s">
        <v>109</v>
      </c>
      <c r="CH17" s="46" t="s">
        <v>130</v>
      </c>
      <c r="CI17" s="46" t="s">
        <v>109</v>
      </c>
      <c r="CJ17" s="46" t="s">
        <v>109</v>
      </c>
      <c r="CK17" s="46" t="s">
        <v>130</v>
      </c>
      <c r="CL17" s="46" t="s">
        <v>109</v>
      </c>
      <c r="CM17" s="46" t="s">
        <v>109</v>
      </c>
      <c r="CN17" s="46" t="s">
        <v>110</v>
      </c>
      <c r="CO17" s="46" t="s">
        <v>111</v>
      </c>
      <c r="CP17" s="46" t="s">
        <v>111</v>
      </c>
    </row>
    <row r="18" spans="1:94">
      <c r="A18" s="4" t="s">
        <v>188</v>
      </c>
      <c r="B18" s="4">
        <v>2</v>
      </c>
      <c r="C18" s="29">
        <v>40876</v>
      </c>
      <c r="D18" s="29" t="s">
        <v>189</v>
      </c>
      <c r="E18" s="4">
        <v>1989</v>
      </c>
      <c r="F18" s="4" t="s">
        <v>138</v>
      </c>
      <c r="G18" s="4" t="s">
        <v>93</v>
      </c>
      <c r="H18" s="4" t="s">
        <v>121</v>
      </c>
      <c r="I18" s="4" t="s">
        <v>95</v>
      </c>
      <c r="J18" s="45" t="s">
        <v>132</v>
      </c>
      <c r="K18" s="45" t="s">
        <v>97</v>
      </c>
      <c r="L18" s="45" t="s">
        <v>167</v>
      </c>
      <c r="M18" s="4" t="s">
        <v>195</v>
      </c>
      <c r="N18" s="4" t="s">
        <v>161</v>
      </c>
      <c r="O18" s="4">
        <v>10</v>
      </c>
      <c r="P18" s="4">
        <v>3</v>
      </c>
      <c r="Q18" s="4" t="s">
        <v>101</v>
      </c>
      <c r="R18" s="4" t="s">
        <v>196</v>
      </c>
      <c r="S18" s="4" t="s">
        <v>141</v>
      </c>
      <c r="T18" s="4" t="s">
        <v>144</v>
      </c>
      <c r="U18" s="4" t="s">
        <v>161</v>
      </c>
      <c r="V18" s="4">
        <v>4</v>
      </c>
      <c r="W18" s="4">
        <v>3</v>
      </c>
      <c r="X18" s="4">
        <v>6</v>
      </c>
      <c r="Y18" s="4" t="s">
        <v>118</v>
      </c>
      <c r="Z18" s="4" t="s">
        <v>107</v>
      </c>
      <c r="AA18" s="4" t="s">
        <v>101</v>
      </c>
      <c r="AB18" s="4" t="s">
        <v>108</v>
      </c>
      <c r="AC18" s="4" t="s">
        <v>108</v>
      </c>
      <c r="AD18" s="4" t="s">
        <v>108</v>
      </c>
      <c r="AE18" s="4" t="s">
        <v>108</v>
      </c>
      <c r="AF18" s="4" t="s">
        <v>108</v>
      </c>
      <c r="AG18" s="4" t="s">
        <v>119</v>
      </c>
      <c r="AH18" s="4" t="s">
        <v>101</v>
      </c>
      <c r="AI18" s="4" t="s">
        <v>107</v>
      </c>
      <c r="AJ18" s="4" t="s">
        <v>101</v>
      </c>
      <c r="AK18" s="4" t="s">
        <v>108</v>
      </c>
      <c r="AL18" s="4" t="s">
        <v>119</v>
      </c>
      <c r="AM18" s="4" t="s">
        <v>108</v>
      </c>
      <c r="AN18" s="4" t="s">
        <v>108</v>
      </c>
      <c r="AO18" s="4" t="s">
        <v>108</v>
      </c>
      <c r="AP18" s="4" t="s">
        <v>119</v>
      </c>
      <c r="AQ18" s="4" t="s">
        <v>101</v>
      </c>
      <c r="AR18" s="4" t="s">
        <v>101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0</v>
      </c>
      <c r="AY18" s="4" t="s">
        <v>101</v>
      </c>
      <c r="AZ18" s="4" t="s">
        <v>101</v>
      </c>
      <c r="BA18" s="4" t="s">
        <v>101</v>
      </c>
      <c r="BB18" s="4" t="s">
        <v>101</v>
      </c>
      <c r="BC18" s="4" t="s">
        <v>101</v>
      </c>
      <c r="BD18" s="4" t="s">
        <v>101</v>
      </c>
      <c r="BE18" s="4" t="s">
        <v>101</v>
      </c>
      <c r="BF18" s="4" t="s">
        <v>101</v>
      </c>
      <c r="BG18" s="4">
        <v>1</v>
      </c>
      <c r="BH18" s="4">
        <v>1</v>
      </c>
      <c r="BI18" s="4">
        <v>1</v>
      </c>
      <c r="BJ18" s="4">
        <v>1</v>
      </c>
      <c r="BK18" s="4">
        <v>0</v>
      </c>
      <c r="BL18" s="4" t="s">
        <v>101</v>
      </c>
      <c r="BM18" s="4">
        <v>0</v>
      </c>
      <c r="BN18" s="4">
        <v>1</v>
      </c>
      <c r="BO18" s="4">
        <v>0</v>
      </c>
      <c r="BP18" s="4">
        <v>0</v>
      </c>
      <c r="BQ18" s="4" t="s">
        <v>101</v>
      </c>
      <c r="BR18" s="4">
        <v>1</v>
      </c>
      <c r="BS18" s="4">
        <v>1</v>
      </c>
      <c r="BT18" s="4">
        <v>0</v>
      </c>
      <c r="BU18" s="4" t="s">
        <v>101</v>
      </c>
      <c r="BV18" s="4">
        <v>1</v>
      </c>
      <c r="BW18" s="4">
        <v>0</v>
      </c>
      <c r="BX18" s="4" t="s">
        <v>101</v>
      </c>
      <c r="BY18" s="4">
        <v>0</v>
      </c>
      <c r="BZ18" s="4" t="s">
        <v>101</v>
      </c>
      <c r="CA18" s="4" t="s">
        <v>101</v>
      </c>
      <c r="CB18" s="19" t="s">
        <v>111</v>
      </c>
      <c r="CC18" s="19" t="s">
        <v>109</v>
      </c>
      <c r="CD18" s="19" t="s">
        <v>111</v>
      </c>
      <c r="CE18" s="19" t="s">
        <v>109</v>
      </c>
      <c r="CF18" s="19" t="s">
        <v>111</v>
      </c>
      <c r="CG18" s="19" t="s">
        <v>109</v>
      </c>
      <c r="CH18" s="46" t="s">
        <v>110</v>
      </c>
      <c r="CI18" s="46" t="s">
        <v>109</v>
      </c>
      <c r="CJ18" s="46" t="s">
        <v>109</v>
      </c>
      <c r="CK18" s="46" t="s">
        <v>110</v>
      </c>
      <c r="CL18" s="46" t="s">
        <v>111</v>
      </c>
      <c r="CM18" s="46" t="s">
        <v>111</v>
      </c>
      <c r="CN18" s="46" t="s">
        <v>130</v>
      </c>
      <c r="CO18" s="46" t="s">
        <v>109</v>
      </c>
      <c r="CP18" s="46" t="s">
        <v>111</v>
      </c>
    </row>
    <row r="19" spans="1:94">
      <c r="A19" s="4" t="s">
        <v>188</v>
      </c>
      <c r="B19" s="4">
        <v>3</v>
      </c>
      <c r="C19" s="29">
        <v>40876</v>
      </c>
      <c r="D19" s="29" t="s">
        <v>189</v>
      </c>
      <c r="E19" s="4">
        <v>1990</v>
      </c>
      <c r="F19" s="4" t="s">
        <v>138</v>
      </c>
      <c r="G19" s="4" t="s">
        <v>93</v>
      </c>
      <c r="H19" s="4" t="s">
        <v>94</v>
      </c>
      <c r="I19" s="4" t="s">
        <v>95</v>
      </c>
      <c r="J19" s="45" t="s">
        <v>132</v>
      </c>
      <c r="K19" s="45" t="s">
        <v>97</v>
      </c>
      <c r="L19" s="4" t="s">
        <v>98</v>
      </c>
      <c r="M19" s="4" t="s">
        <v>114</v>
      </c>
      <c r="N19" s="4" t="s">
        <v>156</v>
      </c>
      <c r="O19" s="4">
        <v>5</v>
      </c>
      <c r="P19" s="4">
        <v>3</v>
      </c>
      <c r="Q19" s="4" t="s">
        <v>197</v>
      </c>
      <c r="R19" s="4" t="s">
        <v>198</v>
      </c>
      <c r="S19" s="4" t="s">
        <v>199</v>
      </c>
      <c r="T19" s="4" t="s">
        <v>156</v>
      </c>
      <c r="U19" s="4" t="s">
        <v>200</v>
      </c>
      <c r="V19" s="4">
        <v>3</v>
      </c>
      <c r="W19" s="4">
        <v>3</v>
      </c>
      <c r="X19" s="4">
        <v>3</v>
      </c>
      <c r="Y19" s="4" t="s">
        <v>118</v>
      </c>
      <c r="Z19" s="4" t="s">
        <v>108</v>
      </c>
      <c r="AA19" s="4" t="s">
        <v>108</v>
      </c>
      <c r="AB19" s="4" t="s">
        <v>101</v>
      </c>
      <c r="AC19" s="4" t="s">
        <v>107</v>
      </c>
      <c r="AD19" s="4" t="s">
        <v>108</v>
      </c>
      <c r="AE19" s="4" t="s">
        <v>107</v>
      </c>
      <c r="AF19" s="4" t="s">
        <v>107</v>
      </c>
      <c r="AG19" s="4" t="s">
        <v>108</v>
      </c>
      <c r="AH19" s="4" t="s">
        <v>101</v>
      </c>
      <c r="AI19" s="4" t="s">
        <v>108</v>
      </c>
      <c r="AJ19" s="4" t="s">
        <v>108</v>
      </c>
      <c r="AK19" s="4" t="s">
        <v>101</v>
      </c>
      <c r="AL19" s="4" t="s">
        <v>107</v>
      </c>
      <c r="AM19" s="4" t="s">
        <v>108</v>
      </c>
      <c r="AN19" s="4" t="s">
        <v>107</v>
      </c>
      <c r="AO19" s="4" t="s">
        <v>108</v>
      </c>
      <c r="AP19" s="4" t="s">
        <v>108</v>
      </c>
      <c r="AQ19" s="4" t="s">
        <v>101</v>
      </c>
      <c r="AR19" s="4">
        <v>1</v>
      </c>
      <c r="AS19" s="4" t="s">
        <v>101</v>
      </c>
      <c r="AT19" s="4">
        <v>0</v>
      </c>
      <c r="AU19" s="4">
        <v>0</v>
      </c>
      <c r="AV19" s="4">
        <v>1</v>
      </c>
      <c r="AW19" s="4">
        <v>0</v>
      </c>
      <c r="AX19" s="4">
        <v>0</v>
      </c>
      <c r="AY19" s="4" t="s">
        <v>101</v>
      </c>
      <c r="AZ19" s="4" t="s">
        <v>101</v>
      </c>
      <c r="BA19" s="4">
        <v>0</v>
      </c>
      <c r="BB19" s="4">
        <v>0</v>
      </c>
      <c r="BC19" s="4">
        <v>1</v>
      </c>
      <c r="BD19" s="4">
        <v>0</v>
      </c>
      <c r="BE19" s="4">
        <v>0</v>
      </c>
      <c r="BF19" s="4" t="s">
        <v>101</v>
      </c>
      <c r="BG19" s="4" t="s">
        <v>101</v>
      </c>
      <c r="BH19" s="4" t="s">
        <v>101</v>
      </c>
      <c r="BI19" s="4" t="s">
        <v>101</v>
      </c>
      <c r="BJ19" s="4" t="s">
        <v>101</v>
      </c>
      <c r="BK19" s="4" t="s">
        <v>101</v>
      </c>
      <c r="BL19" s="4" t="s">
        <v>101</v>
      </c>
      <c r="BM19" s="4">
        <v>0</v>
      </c>
      <c r="BN19" s="4">
        <v>0</v>
      </c>
      <c r="BO19" s="4">
        <v>0</v>
      </c>
      <c r="BP19" s="4">
        <v>0</v>
      </c>
      <c r="BQ19" s="4" t="s">
        <v>101</v>
      </c>
      <c r="BR19" s="4">
        <v>0</v>
      </c>
      <c r="BS19" s="4">
        <v>1</v>
      </c>
      <c r="BT19" s="4">
        <v>0</v>
      </c>
      <c r="BU19" s="4" t="s">
        <v>101</v>
      </c>
      <c r="BV19" s="4">
        <v>1</v>
      </c>
      <c r="BW19" s="4">
        <v>0</v>
      </c>
      <c r="BX19" s="4" t="s">
        <v>101</v>
      </c>
      <c r="BY19" s="4">
        <v>1</v>
      </c>
      <c r="BZ19" s="4" t="s">
        <v>101</v>
      </c>
      <c r="CA19" s="4" t="s">
        <v>101</v>
      </c>
      <c r="CB19" s="19" t="s">
        <v>109</v>
      </c>
      <c r="CC19" s="19" t="s">
        <v>109</v>
      </c>
      <c r="CD19" s="19" t="s">
        <v>111</v>
      </c>
      <c r="CE19" s="19" t="s">
        <v>109</v>
      </c>
      <c r="CF19" s="19" t="s">
        <v>111</v>
      </c>
      <c r="CG19" s="19" t="s">
        <v>109</v>
      </c>
      <c r="CH19" s="46" t="s">
        <v>110</v>
      </c>
      <c r="CI19" s="46" t="s">
        <v>111</v>
      </c>
      <c r="CJ19" s="46" t="s">
        <v>111</v>
      </c>
      <c r="CK19" s="46" t="s">
        <v>110</v>
      </c>
      <c r="CL19" s="46" t="s">
        <v>109</v>
      </c>
      <c r="CM19" s="46" t="s">
        <v>109</v>
      </c>
      <c r="CN19" s="46" t="s">
        <v>130</v>
      </c>
      <c r="CO19" s="46" t="s">
        <v>111</v>
      </c>
      <c r="CP19" s="46" t="s">
        <v>109</v>
      </c>
    </row>
    <row r="20" spans="1:94">
      <c r="A20" s="4" t="s">
        <v>188</v>
      </c>
      <c r="B20" s="4">
        <v>4</v>
      </c>
      <c r="C20" s="29">
        <v>40876</v>
      </c>
      <c r="D20" s="29" t="s">
        <v>189</v>
      </c>
      <c r="E20" s="4">
        <v>1990</v>
      </c>
      <c r="F20" s="4" t="s">
        <v>138</v>
      </c>
      <c r="G20" s="4" t="s">
        <v>93</v>
      </c>
      <c r="H20" s="4" t="s">
        <v>94</v>
      </c>
      <c r="I20" s="4" t="s">
        <v>113</v>
      </c>
      <c r="J20" s="45" t="s">
        <v>132</v>
      </c>
      <c r="K20" s="45" t="s">
        <v>122</v>
      </c>
      <c r="L20" s="4" t="s">
        <v>133</v>
      </c>
      <c r="M20" s="4" t="s">
        <v>114</v>
      </c>
      <c r="N20" s="4" t="s">
        <v>139</v>
      </c>
      <c r="O20" s="4">
        <v>1</v>
      </c>
      <c r="P20" s="4">
        <v>2</v>
      </c>
      <c r="Q20" s="4" t="s">
        <v>101</v>
      </c>
      <c r="R20" s="4" t="s">
        <v>201</v>
      </c>
      <c r="S20" s="4" t="s">
        <v>141</v>
      </c>
      <c r="T20" s="4" t="s">
        <v>156</v>
      </c>
      <c r="U20" s="4" t="s">
        <v>202</v>
      </c>
      <c r="V20" s="4">
        <v>1</v>
      </c>
      <c r="W20" s="4">
        <v>1</v>
      </c>
      <c r="X20" s="4">
        <v>3</v>
      </c>
      <c r="Y20" s="4" t="s">
        <v>119</v>
      </c>
      <c r="Z20" s="4" t="s">
        <v>107</v>
      </c>
      <c r="AA20" s="4" t="s">
        <v>108</v>
      </c>
      <c r="AB20" s="4" t="s">
        <v>107</v>
      </c>
      <c r="AC20" s="4" t="s">
        <v>101</v>
      </c>
      <c r="AD20" s="4" t="s">
        <v>108</v>
      </c>
      <c r="AE20" s="4" t="s">
        <v>108</v>
      </c>
      <c r="AF20" s="4" t="s">
        <v>108</v>
      </c>
      <c r="AG20" s="4" t="s">
        <v>119</v>
      </c>
      <c r="AH20" s="4" t="s">
        <v>101</v>
      </c>
      <c r="AI20" s="4" t="s">
        <v>108</v>
      </c>
      <c r="AJ20" s="4" t="s">
        <v>108</v>
      </c>
      <c r="AK20" s="4" t="s">
        <v>107</v>
      </c>
      <c r="AL20" s="4" t="s">
        <v>101</v>
      </c>
      <c r="AM20" s="4" t="s">
        <v>108</v>
      </c>
      <c r="AN20" s="4" t="s">
        <v>108</v>
      </c>
      <c r="AO20" s="4" t="s">
        <v>119</v>
      </c>
      <c r="AP20" s="4" t="s">
        <v>119</v>
      </c>
      <c r="AQ20" s="4" t="s">
        <v>101</v>
      </c>
      <c r="AR20" s="4">
        <v>1</v>
      </c>
      <c r="AS20" s="4">
        <v>0</v>
      </c>
      <c r="AT20" s="4" t="s">
        <v>101</v>
      </c>
      <c r="AU20" s="4">
        <v>0</v>
      </c>
      <c r="AV20" s="4">
        <v>0</v>
      </c>
      <c r="AW20" s="4">
        <v>0</v>
      </c>
      <c r="AX20" s="4">
        <v>0</v>
      </c>
      <c r="AY20" s="4" t="s">
        <v>101</v>
      </c>
      <c r="AZ20" s="4">
        <v>1</v>
      </c>
      <c r="BA20" s="4" t="s">
        <v>101</v>
      </c>
      <c r="BB20" s="4">
        <v>0</v>
      </c>
      <c r="BC20" s="4">
        <v>0</v>
      </c>
      <c r="BD20" s="4">
        <v>0</v>
      </c>
      <c r="BE20" s="4">
        <v>0</v>
      </c>
      <c r="BF20" s="4" t="s">
        <v>101</v>
      </c>
      <c r="BG20" s="4" t="s">
        <v>101</v>
      </c>
      <c r="BH20" s="4">
        <v>0</v>
      </c>
      <c r="BI20" s="4">
        <v>1</v>
      </c>
      <c r="BJ20" s="4">
        <v>0</v>
      </c>
      <c r="BK20" s="4">
        <v>0</v>
      </c>
      <c r="BL20" s="4" t="s">
        <v>101</v>
      </c>
      <c r="BM20" s="4" t="s">
        <v>101</v>
      </c>
      <c r="BN20" s="4" t="s">
        <v>101</v>
      </c>
      <c r="BO20" s="4" t="s">
        <v>101</v>
      </c>
      <c r="BP20" s="4" t="s">
        <v>101</v>
      </c>
      <c r="BQ20" s="4" t="s">
        <v>101</v>
      </c>
      <c r="BR20" s="4">
        <v>0</v>
      </c>
      <c r="BS20" s="4">
        <v>0</v>
      </c>
      <c r="BT20" s="4">
        <v>0</v>
      </c>
      <c r="BU20" s="4" t="s">
        <v>101</v>
      </c>
      <c r="BV20" s="4">
        <v>0</v>
      </c>
      <c r="BW20" s="4">
        <v>0</v>
      </c>
      <c r="BX20" s="4" t="s">
        <v>101</v>
      </c>
      <c r="BY20" s="4">
        <v>0</v>
      </c>
      <c r="BZ20" s="4" t="s">
        <v>101</v>
      </c>
      <c r="CA20" s="4" t="s">
        <v>101</v>
      </c>
      <c r="CB20" s="19" t="s">
        <v>109</v>
      </c>
      <c r="CC20" s="19" t="s">
        <v>111</v>
      </c>
      <c r="CD20" s="19" t="s">
        <v>109</v>
      </c>
      <c r="CE20" s="19" t="s">
        <v>109</v>
      </c>
      <c r="CF20" s="19" t="s">
        <v>111</v>
      </c>
      <c r="CG20" s="19" t="s">
        <v>109</v>
      </c>
      <c r="CH20" s="46" t="s">
        <v>110</v>
      </c>
      <c r="CI20" s="46" t="s">
        <v>111</v>
      </c>
      <c r="CJ20" s="46" t="s">
        <v>111</v>
      </c>
      <c r="CK20" s="46" t="s">
        <v>110</v>
      </c>
      <c r="CL20" s="46" t="s">
        <v>109</v>
      </c>
      <c r="CM20" s="46" t="s">
        <v>111</v>
      </c>
      <c r="CN20" s="46" t="s">
        <v>110</v>
      </c>
      <c r="CO20" s="46" t="s">
        <v>109</v>
      </c>
      <c r="CP20" s="46" t="s">
        <v>109</v>
      </c>
    </row>
    <row r="21" spans="1:94">
      <c r="A21" s="4" t="s">
        <v>188</v>
      </c>
      <c r="B21" s="4">
        <v>5</v>
      </c>
      <c r="C21" s="29">
        <v>40876</v>
      </c>
      <c r="D21" s="29" t="s">
        <v>189</v>
      </c>
      <c r="E21" s="4">
        <v>1993</v>
      </c>
      <c r="F21" s="4" t="s">
        <v>138</v>
      </c>
      <c r="G21" s="4" t="s">
        <v>93</v>
      </c>
      <c r="H21" s="4" t="s">
        <v>94</v>
      </c>
      <c r="I21" s="4" t="s">
        <v>166</v>
      </c>
      <c r="J21" s="4" t="s">
        <v>158</v>
      </c>
      <c r="K21" s="4" t="s">
        <v>166</v>
      </c>
      <c r="L21" s="4" t="s">
        <v>98</v>
      </c>
      <c r="M21" s="4" t="s">
        <v>99</v>
      </c>
      <c r="N21" s="4" t="s">
        <v>203</v>
      </c>
      <c r="O21" s="4">
        <v>4</v>
      </c>
      <c r="P21" s="4">
        <v>3</v>
      </c>
      <c r="Q21" s="4" t="s">
        <v>204</v>
      </c>
      <c r="R21" s="4" t="s">
        <v>205</v>
      </c>
      <c r="S21" s="4" t="s">
        <v>199</v>
      </c>
      <c r="T21" s="4" t="s">
        <v>206</v>
      </c>
      <c r="U21" s="4" t="s">
        <v>105</v>
      </c>
      <c r="V21" s="4">
        <v>2</v>
      </c>
      <c r="W21" s="4">
        <v>1</v>
      </c>
      <c r="X21" s="4">
        <v>7</v>
      </c>
      <c r="Y21" s="4" t="s">
        <v>118</v>
      </c>
      <c r="Z21" s="4" t="s">
        <v>107</v>
      </c>
      <c r="AA21" s="4" t="s">
        <v>108</v>
      </c>
      <c r="AB21" s="4" t="s">
        <v>107</v>
      </c>
      <c r="AC21" s="4" t="s">
        <v>108</v>
      </c>
      <c r="AD21" s="4" t="s">
        <v>101</v>
      </c>
      <c r="AE21" s="4" t="s">
        <v>107</v>
      </c>
      <c r="AF21" s="4" t="s">
        <v>107</v>
      </c>
      <c r="AG21" s="4" t="s">
        <v>108</v>
      </c>
      <c r="AH21" s="4" t="s">
        <v>101</v>
      </c>
      <c r="AI21" s="4" t="s">
        <v>108</v>
      </c>
      <c r="AJ21" s="4" t="s">
        <v>108</v>
      </c>
      <c r="AK21" s="4" t="s">
        <v>108</v>
      </c>
      <c r="AL21" s="4" t="s">
        <v>108</v>
      </c>
      <c r="AM21" s="4" t="s">
        <v>101</v>
      </c>
      <c r="AN21" s="4" t="s">
        <v>107</v>
      </c>
      <c r="AO21" s="4" t="s">
        <v>107</v>
      </c>
      <c r="AP21" s="4" t="s">
        <v>108</v>
      </c>
      <c r="AQ21" s="4" t="s">
        <v>101</v>
      </c>
      <c r="AR21" s="4">
        <v>1</v>
      </c>
      <c r="AS21" s="4">
        <v>1</v>
      </c>
      <c r="AT21" s="4">
        <v>1</v>
      </c>
      <c r="AU21" s="4" t="s">
        <v>101</v>
      </c>
      <c r="AV21" s="4">
        <v>1</v>
      </c>
      <c r="AW21" s="4">
        <v>1</v>
      </c>
      <c r="AX21" s="4">
        <v>0</v>
      </c>
      <c r="AY21" s="4" t="s">
        <v>101</v>
      </c>
      <c r="AZ21" s="4">
        <v>1</v>
      </c>
      <c r="BA21" s="4">
        <v>1</v>
      </c>
      <c r="BB21" s="4" t="s">
        <v>101</v>
      </c>
      <c r="BC21" s="4">
        <v>1</v>
      </c>
      <c r="BD21" s="4">
        <v>1</v>
      </c>
      <c r="BE21" s="4">
        <v>0</v>
      </c>
      <c r="BF21" s="4" t="s">
        <v>101</v>
      </c>
      <c r="BG21" s="4">
        <v>0</v>
      </c>
      <c r="BH21" s="4" t="s">
        <v>101</v>
      </c>
      <c r="BI21" s="4">
        <v>0</v>
      </c>
      <c r="BJ21" s="4">
        <v>0</v>
      </c>
      <c r="BK21" s="4">
        <v>0</v>
      </c>
      <c r="BL21" s="4" t="s">
        <v>101</v>
      </c>
      <c r="BM21" s="4" t="s">
        <v>101</v>
      </c>
      <c r="BN21" s="4">
        <v>1</v>
      </c>
      <c r="BO21" s="4">
        <v>0</v>
      </c>
      <c r="BP21" s="4">
        <v>0</v>
      </c>
      <c r="BQ21" s="4" t="s">
        <v>101</v>
      </c>
      <c r="BR21" s="4" t="s">
        <v>101</v>
      </c>
      <c r="BS21" s="4" t="s">
        <v>101</v>
      </c>
      <c r="BT21" s="4" t="s">
        <v>101</v>
      </c>
      <c r="BU21" s="4" t="s">
        <v>101</v>
      </c>
      <c r="BV21" s="4">
        <v>1</v>
      </c>
      <c r="BW21" s="4">
        <v>0</v>
      </c>
      <c r="BX21" s="4" t="s">
        <v>101</v>
      </c>
      <c r="BY21" s="4">
        <v>0</v>
      </c>
      <c r="BZ21" s="4" t="s">
        <v>101</v>
      </c>
      <c r="CA21" s="4" t="s">
        <v>101</v>
      </c>
      <c r="CB21" s="19" t="s">
        <v>109</v>
      </c>
      <c r="CC21" s="19" t="s">
        <v>109</v>
      </c>
      <c r="CD21" s="19" t="s">
        <v>109</v>
      </c>
      <c r="CE21" s="19" t="s">
        <v>109</v>
      </c>
      <c r="CF21" s="19" t="s">
        <v>109</v>
      </c>
      <c r="CG21" s="19" t="s">
        <v>109</v>
      </c>
      <c r="CH21" s="46" t="s">
        <v>110</v>
      </c>
      <c r="CI21" s="46" t="s">
        <v>109</v>
      </c>
      <c r="CJ21" s="46" t="s">
        <v>109</v>
      </c>
      <c r="CK21" s="46" t="s">
        <v>130</v>
      </c>
      <c r="CL21" s="46" t="s">
        <v>111</v>
      </c>
      <c r="CM21" s="46" t="s">
        <v>109</v>
      </c>
      <c r="CN21" s="46" t="s">
        <v>130</v>
      </c>
      <c r="CO21" s="46" t="s">
        <v>109</v>
      </c>
      <c r="CP21" s="46" t="s">
        <v>109</v>
      </c>
    </row>
    <row r="22" spans="1:94">
      <c r="A22" s="4" t="s">
        <v>188</v>
      </c>
      <c r="B22" s="4">
        <v>6</v>
      </c>
      <c r="C22" s="29">
        <v>40876</v>
      </c>
      <c r="D22" s="29" t="s">
        <v>189</v>
      </c>
      <c r="E22" s="4">
        <v>1990</v>
      </c>
      <c r="F22" s="4" t="s">
        <v>138</v>
      </c>
      <c r="G22" s="4" t="s">
        <v>93</v>
      </c>
      <c r="H22" s="4" t="s">
        <v>94</v>
      </c>
      <c r="I22" s="4" t="s">
        <v>95</v>
      </c>
      <c r="J22" s="45" t="s">
        <v>132</v>
      </c>
      <c r="K22" s="45" t="s">
        <v>122</v>
      </c>
      <c r="L22" s="4" t="s">
        <v>207</v>
      </c>
      <c r="M22" s="4" t="s">
        <v>207</v>
      </c>
      <c r="N22" s="4" t="s">
        <v>208</v>
      </c>
      <c r="O22" s="4">
        <v>8</v>
      </c>
      <c r="P22" s="4">
        <v>6</v>
      </c>
      <c r="Q22" s="4" t="s">
        <v>101</v>
      </c>
      <c r="R22" s="4" t="s">
        <v>209</v>
      </c>
      <c r="S22" s="4" t="s">
        <v>199</v>
      </c>
      <c r="T22" s="4" t="s">
        <v>156</v>
      </c>
      <c r="U22" s="4" t="s">
        <v>101</v>
      </c>
      <c r="V22" s="4">
        <v>4</v>
      </c>
      <c r="W22" s="4">
        <v>4</v>
      </c>
      <c r="X22" s="4">
        <v>8</v>
      </c>
      <c r="Y22" s="4" t="s">
        <v>106</v>
      </c>
      <c r="Z22" s="4" t="s">
        <v>107</v>
      </c>
      <c r="AA22" s="4" t="s">
        <v>107</v>
      </c>
      <c r="AB22" s="4" t="s">
        <v>107</v>
      </c>
      <c r="AC22" s="4" t="s">
        <v>107</v>
      </c>
      <c r="AD22" s="4" t="s">
        <v>107</v>
      </c>
      <c r="AE22" s="4" t="s">
        <v>101</v>
      </c>
      <c r="AF22" s="4" t="s">
        <v>107</v>
      </c>
      <c r="AG22" s="4" t="s">
        <v>107</v>
      </c>
      <c r="AH22" s="4" t="s">
        <v>101</v>
      </c>
      <c r="AI22" s="4" t="s">
        <v>107</v>
      </c>
      <c r="AJ22" s="4" t="s">
        <v>108</v>
      </c>
      <c r="AK22" s="4" t="s">
        <v>107</v>
      </c>
      <c r="AL22" s="4" t="s">
        <v>108</v>
      </c>
      <c r="AM22" s="4" t="s">
        <v>108</v>
      </c>
      <c r="AN22" s="4" t="s">
        <v>101</v>
      </c>
      <c r="AO22" s="4" t="s">
        <v>107</v>
      </c>
      <c r="AP22" s="4" t="s">
        <v>108</v>
      </c>
      <c r="AQ22" s="4" t="s">
        <v>101</v>
      </c>
      <c r="AR22" s="4">
        <v>1</v>
      </c>
      <c r="AS22" s="4">
        <v>1</v>
      </c>
      <c r="AT22" s="4">
        <v>0</v>
      </c>
      <c r="AU22" s="4">
        <v>1</v>
      </c>
      <c r="AV22" s="4" t="s">
        <v>101</v>
      </c>
      <c r="AW22" s="4">
        <v>1</v>
      </c>
      <c r="AX22" s="4">
        <v>1</v>
      </c>
      <c r="AY22" s="4" t="s">
        <v>101</v>
      </c>
      <c r="AZ22" s="4">
        <v>0</v>
      </c>
      <c r="BA22" s="4">
        <v>0</v>
      </c>
      <c r="BB22" s="4">
        <v>1</v>
      </c>
      <c r="BC22" s="4" t="s">
        <v>101</v>
      </c>
      <c r="BD22" s="4">
        <v>0</v>
      </c>
      <c r="BE22" s="4">
        <v>0</v>
      </c>
      <c r="BF22" s="4" t="s">
        <v>101</v>
      </c>
      <c r="BG22" s="4">
        <v>1</v>
      </c>
      <c r="BH22" s="4">
        <v>0</v>
      </c>
      <c r="BI22" s="4" t="s">
        <v>101</v>
      </c>
      <c r="BJ22" s="4">
        <v>0</v>
      </c>
      <c r="BK22" s="4">
        <v>0</v>
      </c>
      <c r="BL22" s="4" t="s">
        <v>101</v>
      </c>
      <c r="BM22" s="4">
        <v>0</v>
      </c>
      <c r="BN22" s="4" t="s">
        <v>101</v>
      </c>
      <c r="BO22" s="4">
        <v>1</v>
      </c>
      <c r="BP22" s="4">
        <v>0</v>
      </c>
      <c r="BQ22" s="4" t="s">
        <v>101</v>
      </c>
      <c r="BR22" s="4" t="s">
        <v>101</v>
      </c>
      <c r="BS22" s="4">
        <v>0</v>
      </c>
      <c r="BT22" s="4">
        <v>0</v>
      </c>
      <c r="BU22" s="4" t="s">
        <v>101</v>
      </c>
      <c r="BV22" s="4" t="s">
        <v>101</v>
      </c>
      <c r="BW22" s="4" t="s">
        <v>101</v>
      </c>
      <c r="BX22" s="4" t="s">
        <v>101</v>
      </c>
      <c r="BY22" s="4">
        <v>0</v>
      </c>
      <c r="BZ22" s="4" t="s">
        <v>101</v>
      </c>
      <c r="CA22" s="4" t="s">
        <v>101</v>
      </c>
      <c r="CB22" s="19" t="s">
        <v>109</v>
      </c>
      <c r="CC22" s="19" t="s">
        <v>109</v>
      </c>
      <c r="CD22" s="19" t="s">
        <v>111</v>
      </c>
      <c r="CE22" s="19" t="s">
        <v>109</v>
      </c>
      <c r="CF22" s="19" t="s">
        <v>111</v>
      </c>
      <c r="CG22" s="19" t="s">
        <v>109</v>
      </c>
      <c r="CH22" s="46" t="s">
        <v>110</v>
      </c>
      <c r="CI22" s="46" t="s">
        <v>109</v>
      </c>
      <c r="CJ22" s="46" t="s">
        <v>109</v>
      </c>
      <c r="CK22" s="46" t="s">
        <v>130</v>
      </c>
      <c r="CL22" s="46" t="s">
        <v>109</v>
      </c>
      <c r="CM22" s="46" t="s">
        <v>109</v>
      </c>
      <c r="CN22" s="46" t="s">
        <v>130</v>
      </c>
      <c r="CO22" s="46" t="s">
        <v>111</v>
      </c>
      <c r="CP22" s="46" t="s">
        <v>109</v>
      </c>
    </row>
    <row r="23" spans="1:94">
      <c r="A23" s="4" t="s">
        <v>188</v>
      </c>
      <c r="B23" s="4">
        <v>7</v>
      </c>
      <c r="C23" s="29">
        <v>40876</v>
      </c>
      <c r="D23" s="29" t="s">
        <v>189</v>
      </c>
      <c r="E23" s="4">
        <v>1988</v>
      </c>
      <c r="F23" s="4" t="s">
        <v>138</v>
      </c>
      <c r="G23" s="4" t="s">
        <v>93</v>
      </c>
      <c r="H23" s="4" t="s">
        <v>94</v>
      </c>
      <c r="I23" s="4" t="s">
        <v>95</v>
      </c>
      <c r="J23" s="45" t="s">
        <v>96</v>
      </c>
      <c r="K23" s="4" t="s">
        <v>166</v>
      </c>
      <c r="L23" s="4" t="s">
        <v>98</v>
      </c>
      <c r="M23" s="4" t="s">
        <v>99</v>
      </c>
      <c r="N23" s="4" t="s">
        <v>210</v>
      </c>
      <c r="O23" s="4">
        <v>3</v>
      </c>
      <c r="P23" s="4">
        <v>2</v>
      </c>
      <c r="Q23" s="4" t="s">
        <v>211</v>
      </c>
      <c r="R23" s="4" t="s">
        <v>150</v>
      </c>
      <c r="S23" s="4" t="s">
        <v>101</v>
      </c>
      <c r="T23" s="4" t="s">
        <v>104</v>
      </c>
      <c r="U23" s="4" t="s">
        <v>202</v>
      </c>
      <c r="V23" s="4">
        <v>3</v>
      </c>
      <c r="W23" s="4">
        <v>3</v>
      </c>
      <c r="X23" s="4">
        <v>7</v>
      </c>
      <c r="Y23" s="4" t="s">
        <v>106</v>
      </c>
      <c r="Z23" s="4" t="s">
        <v>107</v>
      </c>
      <c r="AA23" s="4" t="s">
        <v>108</v>
      </c>
      <c r="AB23" s="4" t="s">
        <v>107</v>
      </c>
      <c r="AC23" s="4" t="s">
        <v>108</v>
      </c>
      <c r="AD23" s="4" t="s">
        <v>107</v>
      </c>
      <c r="AE23" s="4" t="s">
        <v>107</v>
      </c>
      <c r="AF23" s="4" t="s">
        <v>101</v>
      </c>
      <c r="AG23" s="4" t="s">
        <v>108</v>
      </c>
      <c r="AH23" s="4" t="s">
        <v>101</v>
      </c>
      <c r="AI23" s="4" t="s">
        <v>107</v>
      </c>
      <c r="AJ23" s="4" t="s">
        <v>108</v>
      </c>
      <c r="AK23" s="4" t="s">
        <v>107</v>
      </c>
      <c r="AL23" s="4" t="s">
        <v>108</v>
      </c>
      <c r="AM23" s="4" t="s">
        <v>107</v>
      </c>
      <c r="AN23" s="4" t="s">
        <v>107</v>
      </c>
      <c r="AO23" s="4" t="s">
        <v>101</v>
      </c>
      <c r="AP23" s="4" t="s">
        <v>108</v>
      </c>
      <c r="AQ23" s="4" t="s">
        <v>101</v>
      </c>
      <c r="AR23" s="4">
        <v>1</v>
      </c>
      <c r="AS23" s="4">
        <v>1</v>
      </c>
      <c r="AT23" s="4">
        <v>0</v>
      </c>
      <c r="AU23" s="4">
        <v>1</v>
      </c>
      <c r="AV23" s="4">
        <v>1</v>
      </c>
      <c r="AW23" s="4" t="s">
        <v>101</v>
      </c>
      <c r="AX23" s="4">
        <v>1</v>
      </c>
      <c r="AY23" s="4" t="s">
        <v>101</v>
      </c>
      <c r="AZ23" s="4">
        <v>1</v>
      </c>
      <c r="BA23" s="4">
        <v>1</v>
      </c>
      <c r="BB23" s="4">
        <v>1</v>
      </c>
      <c r="BC23" s="4">
        <v>1</v>
      </c>
      <c r="BD23" s="4" t="s">
        <v>101</v>
      </c>
      <c r="BE23" s="4">
        <v>1</v>
      </c>
      <c r="BF23" s="4" t="s">
        <v>101</v>
      </c>
      <c r="BG23" s="4">
        <v>1</v>
      </c>
      <c r="BH23" s="4">
        <v>1</v>
      </c>
      <c r="BI23" s="4">
        <v>1</v>
      </c>
      <c r="BJ23" s="4" t="s">
        <v>101</v>
      </c>
      <c r="BK23" s="4">
        <v>1</v>
      </c>
      <c r="BL23" s="4" t="s">
        <v>101</v>
      </c>
      <c r="BM23" s="4">
        <v>1</v>
      </c>
      <c r="BN23" s="4">
        <v>1</v>
      </c>
      <c r="BO23" s="4" t="s">
        <v>101</v>
      </c>
      <c r="BP23" s="4">
        <v>0</v>
      </c>
      <c r="BQ23" s="4" t="s">
        <v>101</v>
      </c>
      <c r="BR23" s="4">
        <v>1</v>
      </c>
      <c r="BS23" s="4" t="s">
        <v>101</v>
      </c>
      <c r="BT23" s="4">
        <v>0</v>
      </c>
      <c r="BU23" s="4" t="s">
        <v>101</v>
      </c>
      <c r="BV23" s="4" t="s">
        <v>101</v>
      </c>
      <c r="BW23" s="4">
        <v>0</v>
      </c>
      <c r="BX23" s="4" t="s">
        <v>101</v>
      </c>
      <c r="BY23" s="4" t="s">
        <v>101</v>
      </c>
      <c r="BZ23" s="4" t="s">
        <v>101</v>
      </c>
      <c r="CA23" s="4" t="s">
        <v>101</v>
      </c>
      <c r="CB23" s="19" t="s">
        <v>109</v>
      </c>
      <c r="CC23" s="19" t="s">
        <v>111</v>
      </c>
      <c r="CD23" s="19" t="s">
        <v>109</v>
      </c>
      <c r="CE23" s="19" t="s">
        <v>111</v>
      </c>
      <c r="CF23" s="19" t="s">
        <v>109</v>
      </c>
      <c r="CG23" s="19" t="s">
        <v>111</v>
      </c>
      <c r="CH23" s="46" t="s">
        <v>110</v>
      </c>
      <c r="CI23" s="46" t="s">
        <v>109</v>
      </c>
      <c r="CJ23" s="46" t="s">
        <v>109</v>
      </c>
      <c r="CK23" s="46" t="s">
        <v>130</v>
      </c>
      <c r="CL23" s="46" t="s">
        <v>109</v>
      </c>
      <c r="CM23" s="46" t="s">
        <v>111</v>
      </c>
      <c r="CN23" s="46" t="s">
        <v>130</v>
      </c>
      <c r="CO23" s="46" t="s">
        <v>109</v>
      </c>
      <c r="CP23" s="46" t="s">
        <v>111</v>
      </c>
    </row>
    <row r="24" spans="1:94">
      <c r="A24" s="4" t="s">
        <v>212</v>
      </c>
      <c r="B24" s="4">
        <v>1</v>
      </c>
      <c r="C24" s="29">
        <v>40876</v>
      </c>
      <c r="D24" s="29" t="s">
        <v>189</v>
      </c>
      <c r="E24" s="4">
        <v>1990</v>
      </c>
      <c r="F24" s="4" t="s">
        <v>92</v>
      </c>
      <c r="G24" s="4" t="s">
        <v>93</v>
      </c>
      <c r="H24" s="4" t="s">
        <v>94</v>
      </c>
      <c r="I24" s="4" t="s">
        <v>95</v>
      </c>
      <c r="J24" s="4" t="s">
        <v>158</v>
      </c>
      <c r="K24" s="45" t="s">
        <v>122</v>
      </c>
      <c r="L24" s="4" t="s">
        <v>98</v>
      </c>
      <c r="M24" s="4" t="s">
        <v>99</v>
      </c>
      <c r="N24" s="4" t="s">
        <v>213</v>
      </c>
      <c r="O24" s="4">
        <v>1</v>
      </c>
      <c r="P24" s="4">
        <v>0</v>
      </c>
      <c r="Q24" s="4" t="s">
        <v>214</v>
      </c>
      <c r="R24" s="4" t="s">
        <v>215</v>
      </c>
      <c r="S24" s="4" t="s">
        <v>101</v>
      </c>
      <c r="T24" s="4" t="s">
        <v>216</v>
      </c>
      <c r="U24" s="4" t="s">
        <v>105</v>
      </c>
      <c r="V24" s="4">
        <v>1</v>
      </c>
      <c r="W24" s="4">
        <v>0</v>
      </c>
      <c r="X24" s="4">
        <v>0</v>
      </c>
      <c r="Y24" s="4" t="s">
        <v>118</v>
      </c>
      <c r="Z24" s="4" t="s">
        <v>101</v>
      </c>
      <c r="AA24" s="4" t="s">
        <v>108</v>
      </c>
      <c r="AB24" s="4" t="s">
        <v>119</v>
      </c>
      <c r="AC24" s="4" t="s">
        <v>217</v>
      </c>
      <c r="AD24" s="4" t="s">
        <v>108</v>
      </c>
      <c r="AE24" s="4" t="s">
        <v>108</v>
      </c>
      <c r="AF24" s="4" t="s">
        <v>108</v>
      </c>
      <c r="AG24" s="4" t="s">
        <v>107</v>
      </c>
      <c r="AH24" s="4" t="s">
        <v>101</v>
      </c>
      <c r="AI24" s="4" t="s">
        <v>101</v>
      </c>
      <c r="AJ24" s="4" t="s">
        <v>108</v>
      </c>
      <c r="AK24" s="4" t="s">
        <v>119</v>
      </c>
      <c r="AL24" s="4" t="s">
        <v>119</v>
      </c>
      <c r="AM24" s="4" t="s">
        <v>108</v>
      </c>
      <c r="AN24" s="4" t="s">
        <v>108</v>
      </c>
      <c r="AO24" s="4" t="s">
        <v>119</v>
      </c>
      <c r="AP24" s="4" t="s">
        <v>108</v>
      </c>
      <c r="AQ24" s="4" t="s">
        <v>101</v>
      </c>
      <c r="AR24" s="4" t="s">
        <v>101</v>
      </c>
      <c r="AS24" s="4" t="s">
        <v>101</v>
      </c>
      <c r="AT24" s="4" t="s">
        <v>101</v>
      </c>
      <c r="AU24" s="4" t="s">
        <v>101</v>
      </c>
      <c r="AV24" s="4" t="s">
        <v>101</v>
      </c>
      <c r="AW24" s="4" t="s">
        <v>101</v>
      </c>
      <c r="AX24" s="4" t="s">
        <v>101</v>
      </c>
      <c r="AY24" s="4" t="s">
        <v>101</v>
      </c>
      <c r="AZ24" s="4">
        <v>1</v>
      </c>
      <c r="BA24" s="4">
        <v>0</v>
      </c>
      <c r="BB24" s="4">
        <v>0</v>
      </c>
      <c r="BC24" s="4">
        <v>1</v>
      </c>
      <c r="BD24" s="4">
        <v>0</v>
      </c>
      <c r="BE24" s="4">
        <v>1</v>
      </c>
      <c r="BF24" s="4" t="s">
        <v>101</v>
      </c>
      <c r="BG24" s="4">
        <v>0</v>
      </c>
      <c r="BH24" s="4">
        <v>0</v>
      </c>
      <c r="BI24" s="4">
        <v>0</v>
      </c>
      <c r="BJ24" s="4">
        <v>0</v>
      </c>
      <c r="BK24" s="4">
        <v>1</v>
      </c>
      <c r="BL24" s="4" t="s">
        <v>101</v>
      </c>
      <c r="BM24" s="4">
        <v>0</v>
      </c>
      <c r="BN24" s="4">
        <v>1</v>
      </c>
      <c r="BO24" s="4">
        <v>0</v>
      </c>
      <c r="BP24" s="4">
        <v>1</v>
      </c>
      <c r="BQ24" s="4" t="s">
        <v>101</v>
      </c>
      <c r="BR24" s="4">
        <v>1</v>
      </c>
      <c r="BS24" s="4">
        <v>1</v>
      </c>
      <c r="BT24" s="4">
        <v>1</v>
      </c>
      <c r="BU24" s="4" t="s">
        <v>101</v>
      </c>
      <c r="BV24" s="4">
        <v>1</v>
      </c>
      <c r="BW24" s="4">
        <v>1</v>
      </c>
      <c r="BX24" s="4" t="s">
        <v>101</v>
      </c>
      <c r="BY24" s="4">
        <v>1</v>
      </c>
      <c r="BZ24" s="4" t="s">
        <v>101</v>
      </c>
      <c r="CA24" s="4" t="s">
        <v>101</v>
      </c>
      <c r="CB24" s="19" t="s">
        <v>109</v>
      </c>
      <c r="CC24" s="19" t="s">
        <v>109</v>
      </c>
      <c r="CD24" s="19" t="s">
        <v>109</v>
      </c>
      <c r="CE24" s="19" t="s">
        <v>109</v>
      </c>
      <c r="CF24" s="19" t="s">
        <v>109</v>
      </c>
      <c r="CG24" s="19" t="s">
        <v>111</v>
      </c>
      <c r="CH24" s="46" t="s">
        <v>110</v>
      </c>
      <c r="CI24" s="46" t="s">
        <v>109</v>
      </c>
      <c r="CJ24" s="46" t="s">
        <v>109</v>
      </c>
      <c r="CK24" s="46" t="s">
        <v>130</v>
      </c>
      <c r="CL24" s="46" t="s">
        <v>109</v>
      </c>
      <c r="CM24" s="46" t="s">
        <v>109</v>
      </c>
      <c r="CN24" s="46" t="s">
        <v>130</v>
      </c>
      <c r="CO24" s="46" t="s">
        <v>109</v>
      </c>
      <c r="CP24" s="46" t="s">
        <v>111</v>
      </c>
    </row>
    <row r="25" spans="1:94">
      <c r="A25" s="4" t="s">
        <v>212</v>
      </c>
      <c r="B25" s="4">
        <v>2</v>
      </c>
      <c r="C25" s="29">
        <v>40876</v>
      </c>
      <c r="D25" s="29" t="s">
        <v>189</v>
      </c>
      <c r="E25" s="4">
        <v>1987</v>
      </c>
      <c r="F25" s="4" t="s">
        <v>143</v>
      </c>
      <c r="G25" s="4" t="s">
        <v>93</v>
      </c>
      <c r="H25" s="4" t="s">
        <v>121</v>
      </c>
      <c r="I25" s="4" t="s">
        <v>113</v>
      </c>
      <c r="J25" s="45" t="s">
        <v>132</v>
      </c>
      <c r="K25" s="45" t="s">
        <v>97</v>
      </c>
      <c r="L25" s="4" t="s">
        <v>98</v>
      </c>
      <c r="M25" s="4" t="s">
        <v>99</v>
      </c>
      <c r="N25" s="4" t="s">
        <v>218</v>
      </c>
      <c r="O25" s="4">
        <v>7</v>
      </c>
      <c r="P25" s="4">
        <v>0</v>
      </c>
      <c r="Q25" s="4" t="s">
        <v>101</v>
      </c>
      <c r="R25" s="4" t="s">
        <v>219</v>
      </c>
      <c r="S25" s="4" t="s">
        <v>105</v>
      </c>
      <c r="T25" s="4" t="s">
        <v>105</v>
      </c>
      <c r="U25" s="4" t="s">
        <v>105</v>
      </c>
      <c r="V25" s="4">
        <v>1</v>
      </c>
      <c r="W25" s="4">
        <v>1</v>
      </c>
      <c r="X25" s="4">
        <v>0</v>
      </c>
      <c r="Y25" s="4" t="s">
        <v>119</v>
      </c>
      <c r="Z25" s="4" t="s">
        <v>108</v>
      </c>
      <c r="AA25" s="4" t="s">
        <v>101</v>
      </c>
      <c r="AB25" s="4" t="s">
        <v>108</v>
      </c>
      <c r="AC25" s="4" t="s">
        <v>108</v>
      </c>
      <c r="AD25" s="4" t="s">
        <v>108</v>
      </c>
      <c r="AE25" s="4" t="s">
        <v>108</v>
      </c>
      <c r="AF25" s="4" t="s">
        <v>108</v>
      </c>
      <c r="AG25" s="4" t="s">
        <v>108</v>
      </c>
      <c r="AH25" s="4" t="s">
        <v>101</v>
      </c>
      <c r="AI25" s="4" t="s">
        <v>108</v>
      </c>
      <c r="AJ25" s="4" t="s">
        <v>101</v>
      </c>
      <c r="AK25" s="4" t="s">
        <v>119</v>
      </c>
      <c r="AL25" s="4" t="s">
        <v>108</v>
      </c>
      <c r="AM25" s="4" t="s">
        <v>108</v>
      </c>
      <c r="AN25" s="4" t="s">
        <v>108</v>
      </c>
      <c r="AO25" s="4" t="s">
        <v>108</v>
      </c>
      <c r="AP25" s="4" t="s">
        <v>108</v>
      </c>
      <c r="AQ25" s="4" t="s">
        <v>101</v>
      </c>
      <c r="AR25" s="4" t="s">
        <v>101</v>
      </c>
      <c r="AS25" s="4">
        <v>1</v>
      </c>
      <c r="AT25" s="4">
        <v>1</v>
      </c>
      <c r="AU25" s="4">
        <v>1</v>
      </c>
      <c r="AV25" s="4">
        <v>1</v>
      </c>
      <c r="AW25" s="4">
        <v>0</v>
      </c>
      <c r="AX25" s="4">
        <v>1</v>
      </c>
      <c r="AY25" s="4" t="s">
        <v>101</v>
      </c>
      <c r="AZ25" s="4" t="s">
        <v>101</v>
      </c>
      <c r="BA25" s="4" t="s">
        <v>101</v>
      </c>
      <c r="BB25" s="4" t="s">
        <v>101</v>
      </c>
      <c r="BC25" s="4" t="s">
        <v>101</v>
      </c>
      <c r="BD25" s="4" t="s">
        <v>101</v>
      </c>
      <c r="BE25" s="4" t="s">
        <v>101</v>
      </c>
      <c r="BF25" s="4" t="s">
        <v>101</v>
      </c>
      <c r="BG25" s="4">
        <v>0</v>
      </c>
      <c r="BH25" s="4">
        <v>1</v>
      </c>
      <c r="BI25" s="4">
        <v>1</v>
      </c>
      <c r="BJ25" s="4">
        <v>0</v>
      </c>
      <c r="BK25" s="4">
        <v>1</v>
      </c>
      <c r="BL25" s="4" t="s">
        <v>101</v>
      </c>
      <c r="BM25" s="4">
        <v>1</v>
      </c>
      <c r="BN25" s="4">
        <v>1</v>
      </c>
      <c r="BO25" s="4">
        <v>1</v>
      </c>
      <c r="BP25" s="4">
        <v>1</v>
      </c>
      <c r="BQ25" s="4" t="s">
        <v>101</v>
      </c>
      <c r="BR25" s="4">
        <v>1</v>
      </c>
      <c r="BS25" s="4">
        <v>0</v>
      </c>
      <c r="BT25" s="4">
        <v>1</v>
      </c>
      <c r="BU25" s="4" t="s">
        <v>101</v>
      </c>
      <c r="BV25" s="4">
        <v>1</v>
      </c>
      <c r="BW25" s="4">
        <v>1</v>
      </c>
      <c r="BX25" s="4" t="s">
        <v>101</v>
      </c>
      <c r="BY25" s="4">
        <v>1</v>
      </c>
      <c r="BZ25" s="4" t="s">
        <v>101</v>
      </c>
      <c r="CA25" s="4" t="s">
        <v>101</v>
      </c>
      <c r="CB25" s="19" t="s">
        <v>109</v>
      </c>
      <c r="CC25" s="19" t="s">
        <v>109</v>
      </c>
      <c r="CD25" s="19" t="s">
        <v>109</v>
      </c>
      <c r="CE25" s="19" t="s">
        <v>109</v>
      </c>
      <c r="CF25" s="19" t="s">
        <v>109</v>
      </c>
      <c r="CG25" s="19" t="s">
        <v>109</v>
      </c>
      <c r="CH25" s="46" t="s">
        <v>130</v>
      </c>
      <c r="CI25" s="46" t="s">
        <v>109</v>
      </c>
      <c r="CJ25" s="46" t="s">
        <v>109</v>
      </c>
      <c r="CK25" s="46" t="s">
        <v>130</v>
      </c>
      <c r="CL25" s="46" t="s">
        <v>109</v>
      </c>
      <c r="CM25" s="46" t="s">
        <v>109</v>
      </c>
      <c r="CN25" s="46" t="s">
        <v>130</v>
      </c>
      <c r="CO25" s="46" t="s">
        <v>109</v>
      </c>
      <c r="CP25" s="46" t="s">
        <v>109</v>
      </c>
    </row>
    <row r="26" spans="1:94">
      <c r="A26" s="4" t="s">
        <v>212</v>
      </c>
      <c r="B26" s="4">
        <v>3</v>
      </c>
      <c r="C26" s="29">
        <v>40883</v>
      </c>
      <c r="D26" s="29" t="s">
        <v>189</v>
      </c>
      <c r="E26" s="4">
        <v>1987</v>
      </c>
      <c r="F26" s="4" t="s">
        <v>112</v>
      </c>
      <c r="G26" s="4" t="s">
        <v>93</v>
      </c>
      <c r="H26" s="4" t="s">
        <v>94</v>
      </c>
      <c r="I26" s="4" t="s">
        <v>166</v>
      </c>
      <c r="J26" s="45" t="s">
        <v>132</v>
      </c>
      <c r="K26" s="45" t="s">
        <v>97</v>
      </c>
      <c r="L26" s="4" t="s">
        <v>98</v>
      </c>
      <c r="M26" s="4" t="s">
        <v>99</v>
      </c>
      <c r="N26" s="4" t="s">
        <v>139</v>
      </c>
      <c r="O26" s="4">
        <v>3</v>
      </c>
      <c r="P26" s="4">
        <v>0</v>
      </c>
      <c r="Q26" s="4" t="s">
        <v>220</v>
      </c>
      <c r="R26" s="4" t="s">
        <v>204</v>
      </c>
      <c r="S26" s="4" t="s">
        <v>144</v>
      </c>
      <c r="T26" s="4" t="s">
        <v>101</v>
      </c>
      <c r="U26" s="4" t="s">
        <v>221</v>
      </c>
      <c r="V26" s="4">
        <v>1</v>
      </c>
      <c r="W26" s="4">
        <v>0</v>
      </c>
      <c r="X26" s="4">
        <v>0</v>
      </c>
      <c r="Y26" s="4" t="s">
        <v>118</v>
      </c>
      <c r="Z26" s="4" t="s">
        <v>119</v>
      </c>
      <c r="AA26" s="4" t="s">
        <v>108</v>
      </c>
      <c r="AB26" s="4" t="s">
        <v>101</v>
      </c>
      <c r="AC26" s="4" t="s">
        <v>108</v>
      </c>
      <c r="AD26" s="4" t="s">
        <v>108</v>
      </c>
      <c r="AE26" s="4" t="s">
        <v>108</v>
      </c>
      <c r="AF26" s="4" t="s">
        <v>108</v>
      </c>
      <c r="AG26" s="4" t="s">
        <v>108</v>
      </c>
      <c r="AH26" s="4" t="s">
        <v>101</v>
      </c>
      <c r="AI26" s="4" t="s">
        <v>108</v>
      </c>
      <c r="AJ26" s="4" t="s">
        <v>108</v>
      </c>
      <c r="AK26" s="4" t="s">
        <v>101</v>
      </c>
      <c r="AL26" s="4" t="s">
        <v>108</v>
      </c>
      <c r="AM26" s="4" t="s">
        <v>108</v>
      </c>
      <c r="AN26" s="4" t="s">
        <v>108</v>
      </c>
      <c r="AO26" s="4" t="s">
        <v>108</v>
      </c>
      <c r="AP26" s="4" t="s">
        <v>108</v>
      </c>
      <c r="AQ26" s="4" t="s">
        <v>101</v>
      </c>
      <c r="AR26" s="4">
        <v>0</v>
      </c>
      <c r="AS26" s="4" t="s">
        <v>101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 t="s">
        <v>101</v>
      </c>
      <c r="AZ26" s="4" t="s">
        <v>101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 t="s">
        <v>101</v>
      </c>
      <c r="BG26" s="4" t="s">
        <v>101</v>
      </c>
      <c r="BH26" s="4" t="s">
        <v>101</v>
      </c>
      <c r="BI26" s="4" t="s">
        <v>101</v>
      </c>
      <c r="BJ26" s="4" t="s">
        <v>101</v>
      </c>
      <c r="BK26" s="4" t="s">
        <v>101</v>
      </c>
      <c r="BL26" s="4" t="s">
        <v>101</v>
      </c>
      <c r="BM26" s="4">
        <v>0</v>
      </c>
      <c r="BN26" s="4">
        <v>1</v>
      </c>
      <c r="BO26" s="4">
        <v>0</v>
      </c>
      <c r="BP26" s="4">
        <v>0</v>
      </c>
      <c r="BQ26" s="4" t="s">
        <v>101</v>
      </c>
      <c r="BR26" s="4">
        <v>0</v>
      </c>
      <c r="BS26" s="4">
        <v>0</v>
      </c>
      <c r="BT26" s="4">
        <v>0</v>
      </c>
      <c r="BU26" s="4" t="s">
        <v>101</v>
      </c>
      <c r="BV26" s="4">
        <v>0</v>
      </c>
      <c r="BW26" s="4">
        <v>0</v>
      </c>
      <c r="BX26" s="4" t="s">
        <v>101</v>
      </c>
      <c r="BY26" s="4">
        <v>0</v>
      </c>
      <c r="BZ26" s="4" t="s">
        <v>101</v>
      </c>
      <c r="CA26" s="4" t="s">
        <v>101</v>
      </c>
      <c r="CB26" s="19" t="s">
        <v>111</v>
      </c>
      <c r="CC26" s="19" t="s">
        <v>109</v>
      </c>
      <c r="CD26" s="19" t="s">
        <v>111</v>
      </c>
      <c r="CE26" s="19" t="s">
        <v>109</v>
      </c>
      <c r="CF26" s="19" t="s">
        <v>111</v>
      </c>
      <c r="CG26" s="19" t="s">
        <v>109</v>
      </c>
      <c r="CH26" s="46" t="s">
        <v>130</v>
      </c>
      <c r="CI26" s="46" t="s">
        <v>111</v>
      </c>
      <c r="CJ26" s="46" t="s">
        <v>109</v>
      </c>
      <c r="CK26" s="46" t="s">
        <v>130</v>
      </c>
      <c r="CL26" s="46" t="s">
        <v>111</v>
      </c>
      <c r="CM26" s="46" t="s">
        <v>109</v>
      </c>
      <c r="CN26" s="46" t="s">
        <v>130</v>
      </c>
      <c r="CO26" s="46" t="s">
        <v>111</v>
      </c>
      <c r="CP26" s="46" t="s">
        <v>109</v>
      </c>
    </row>
    <row r="27" spans="1:94">
      <c r="A27" s="4" t="s">
        <v>212</v>
      </c>
      <c r="B27" s="4">
        <v>4</v>
      </c>
      <c r="C27" s="29">
        <v>40876</v>
      </c>
      <c r="D27" s="29" t="s">
        <v>189</v>
      </c>
      <c r="E27" s="4">
        <v>1991</v>
      </c>
      <c r="F27" s="4" t="s">
        <v>112</v>
      </c>
      <c r="G27" s="4" t="s">
        <v>93</v>
      </c>
      <c r="H27" s="4" t="s">
        <v>94</v>
      </c>
      <c r="I27" s="4" t="s">
        <v>95</v>
      </c>
      <c r="J27" s="45" t="s">
        <v>132</v>
      </c>
      <c r="K27" s="45" t="s">
        <v>122</v>
      </c>
      <c r="L27" s="4" t="s">
        <v>98</v>
      </c>
      <c r="M27" s="4" t="s">
        <v>114</v>
      </c>
      <c r="N27" s="4" t="s">
        <v>222</v>
      </c>
      <c r="O27" s="4">
        <v>1</v>
      </c>
      <c r="P27" s="4">
        <v>1</v>
      </c>
      <c r="Q27" s="4" t="s">
        <v>101</v>
      </c>
      <c r="R27" s="4" t="s">
        <v>223</v>
      </c>
      <c r="S27" s="4" t="s">
        <v>105</v>
      </c>
      <c r="T27" s="4" t="s">
        <v>156</v>
      </c>
      <c r="U27" s="4" t="s">
        <v>202</v>
      </c>
      <c r="V27" s="4">
        <v>0</v>
      </c>
      <c r="W27" s="4">
        <v>0</v>
      </c>
      <c r="X27" s="4">
        <v>6</v>
      </c>
      <c r="Y27" s="4" t="s">
        <v>118</v>
      </c>
      <c r="Z27" s="4" t="s">
        <v>107</v>
      </c>
      <c r="AA27" s="4" t="s">
        <v>107</v>
      </c>
      <c r="AB27" s="4" t="s">
        <v>107</v>
      </c>
      <c r="AC27" s="4" t="s">
        <v>101</v>
      </c>
      <c r="AD27" s="4" t="s">
        <v>107</v>
      </c>
      <c r="AE27" s="4" t="s">
        <v>107</v>
      </c>
      <c r="AF27" s="4" t="s">
        <v>107</v>
      </c>
      <c r="AG27" s="4" t="s">
        <v>107</v>
      </c>
      <c r="AH27" s="4" t="s">
        <v>101</v>
      </c>
      <c r="AI27" s="4" t="s">
        <v>119</v>
      </c>
      <c r="AJ27" s="4" t="s">
        <v>119</v>
      </c>
      <c r="AK27" s="4" t="s">
        <v>119</v>
      </c>
      <c r="AL27" s="4" t="s">
        <v>101</v>
      </c>
      <c r="AM27" s="4" t="s">
        <v>108</v>
      </c>
      <c r="AN27" s="4" t="s">
        <v>108</v>
      </c>
      <c r="AO27" s="4" t="s">
        <v>108</v>
      </c>
      <c r="AP27" s="4" t="s">
        <v>108</v>
      </c>
      <c r="AQ27" s="4" t="s">
        <v>101</v>
      </c>
      <c r="AR27" s="4">
        <v>1</v>
      </c>
      <c r="AS27" s="4">
        <v>0</v>
      </c>
      <c r="AT27" s="4" t="s">
        <v>101</v>
      </c>
      <c r="AU27" s="4">
        <v>0</v>
      </c>
      <c r="AV27" s="4">
        <v>0</v>
      </c>
      <c r="AW27" s="4">
        <v>1</v>
      </c>
      <c r="AX27" s="4">
        <v>0</v>
      </c>
      <c r="AY27" s="4" t="s">
        <v>101</v>
      </c>
      <c r="AZ27" s="4">
        <v>0</v>
      </c>
      <c r="BA27" s="4" t="s">
        <v>101</v>
      </c>
      <c r="BB27" s="4">
        <v>1</v>
      </c>
      <c r="BC27" s="4">
        <v>0</v>
      </c>
      <c r="BD27" s="4">
        <v>0</v>
      </c>
      <c r="BE27" s="4">
        <v>0</v>
      </c>
      <c r="BF27" s="4" t="s">
        <v>101</v>
      </c>
      <c r="BG27" s="4" t="s">
        <v>101</v>
      </c>
      <c r="BH27" s="4">
        <v>0</v>
      </c>
      <c r="BI27" s="4">
        <v>1</v>
      </c>
      <c r="BJ27" s="4">
        <v>0</v>
      </c>
      <c r="BK27" s="4">
        <v>1</v>
      </c>
      <c r="BL27" s="4" t="s">
        <v>101</v>
      </c>
      <c r="BM27" s="4" t="s">
        <v>101</v>
      </c>
      <c r="BN27" s="4" t="s">
        <v>101</v>
      </c>
      <c r="BO27" s="4" t="s">
        <v>101</v>
      </c>
      <c r="BP27" s="4" t="s">
        <v>101</v>
      </c>
      <c r="BQ27" s="4" t="s">
        <v>101</v>
      </c>
      <c r="BR27" s="4">
        <v>0</v>
      </c>
      <c r="BS27" s="4">
        <v>1</v>
      </c>
      <c r="BT27" s="4">
        <v>0</v>
      </c>
      <c r="BU27" s="4" t="s">
        <v>101</v>
      </c>
      <c r="BV27" s="4">
        <v>1</v>
      </c>
      <c r="BW27" s="4">
        <v>1</v>
      </c>
      <c r="BX27" s="4" t="s">
        <v>101</v>
      </c>
      <c r="BY27" s="4">
        <v>0</v>
      </c>
      <c r="BZ27" s="4" t="s">
        <v>101</v>
      </c>
      <c r="CA27" s="4" t="s">
        <v>101</v>
      </c>
      <c r="CB27" s="19" t="s">
        <v>109</v>
      </c>
      <c r="CC27" s="19" t="s">
        <v>109</v>
      </c>
      <c r="CD27" s="19" t="s">
        <v>109</v>
      </c>
      <c r="CE27" s="19" t="s">
        <v>109</v>
      </c>
      <c r="CF27" s="19" t="s">
        <v>109</v>
      </c>
      <c r="CG27" s="19" t="s">
        <v>109</v>
      </c>
      <c r="CH27" s="46" t="s">
        <v>110</v>
      </c>
      <c r="CI27" s="46" t="s">
        <v>109</v>
      </c>
      <c r="CJ27" s="46" t="s">
        <v>109</v>
      </c>
      <c r="CK27" s="46" t="s">
        <v>110</v>
      </c>
      <c r="CL27" s="46" t="s">
        <v>109</v>
      </c>
      <c r="CM27" s="46" t="s">
        <v>109</v>
      </c>
      <c r="CN27" s="46" t="s">
        <v>110</v>
      </c>
      <c r="CO27" s="46" t="s">
        <v>109</v>
      </c>
      <c r="CP27" s="46" t="s">
        <v>109</v>
      </c>
    </row>
    <row r="28" spans="1:94">
      <c r="A28" s="4" t="s">
        <v>212</v>
      </c>
      <c r="B28" s="4">
        <v>5</v>
      </c>
      <c r="C28" s="29">
        <v>40876</v>
      </c>
      <c r="D28" s="29" t="s">
        <v>189</v>
      </c>
      <c r="E28" s="4">
        <v>1993</v>
      </c>
      <c r="F28" s="4" t="s">
        <v>112</v>
      </c>
      <c r="G28" s="4" t="s">
        <v>224</v>
      </c>
      <c r="H28" s="4" t="s">
        <v>94</v>
      </c>
      <c r="I28" s="4" t="s">
        <v>95</v>
      </c>
      <c r="J28" s="4" t="s">
        <v>158</v>
      </c>
      <c r="K28" s="45" t="s">
        <v>97</v>
      </c>
      <c r="L28" s="4" t="s">
        <v>98</v>
      </c>
      <c r="M28" s="4" t="s">
        <v>99</v>
      </c>
      <c r="N28" s="4" t="s">
        <v>225</v>
      </c>
      <c r="O28" s="4">
        <v>1</v>
      </c>
      <c r="P28" s="4">
        <v>3</v>
      </c>
      <c r="Q28" s="4" t="s">
        <v>220</v>
      </c>
      <c r="R28" s="4" t="s">
        <v>178</v>
      </c>
      <c r="S28" s="4" t="s">
        <v>199</v>
      </c>
      <c r="T28" s="4" t="s">
        <v>226</v>
      </c>
      <c r="U28" s="4" t="s">
        <v>227</v>
      </c>
      <c r="V28" s="4">
        <v>1</v>
      </c>
      <c r="W28" s="4">
        <v>1</v>
      </c>
      <c r="X28" s="4">
        <v>6</v>
      </c>
      <c r="Y28" s="4" t="s">
        <v>118</v>
      </c>
      <c r="Z28" s="4" t="s">
        <v>108</v>
      </c>
      <c r="AA28" s="4" t="s">
        <v>108</v>
      </c>
      <c r="AB28" s="4" t="s">
        <v>108</v>
      </c>
      <c r="AC28" s="4" t="s">
        <v>108</v>
      </c>
      <c r="AD28" s="4" t="s">
        <v>101</v>
      </c>
      <c r="AE28" s="4" t="s">
        <v>108</v>
      </c>
      <c r="AF28" s="4" t="s">
        <v>108</v>
      </c>
      <c r="AG28" s="4" t="s">
        <v>108</v>
      </c>
      <c r="AH28" s="4" t="s">
        <v>101</v>
      </c>
      <c r="AI28" s="4" t="s">
        <v>108</v>
      </c>
      <c r="AJ28" s="4" t="s">
        <v>108</v>
      </c>
      <c r="AK28" s="4" t="s">
        <v>108</v>
      </c>
      <c r="AL28" s="4" t="s">
        <v>108</v>
      </c>
      <c r="AM28" s="4" t="s">
        <v>101</v>
      </c>
      <c r="AN28" s="4" t="s">
        <v>108</v>
      </c>
      <c r="AO28" s="4" t="s">
        <v>108</v>
      </c>
      <c r="AP28" s="4" t="s">
        <v>108</v>
      </c>
      <c r="AQ28" s="4" t="s">
        <v>101</v>
      </c>
      <c r="AR28" s="4">
        <v>1</v>
      </c>
      <c r="AS28" s="4">
        <v>0</v>
      </c>
      <c r="AT28" s="4">
        <v>0</v>
      </c>
      <c r="AU28" s="4" t="s">
        <v>101</v>
      </c>
      <c r="AV28" s="4">
        <v>1</v>
      </c>
      <c r="AW28" s="4">
        <v>0</v>
      </c>
      <c r="AX28" s="4">
        <v>0</v>
      </c>
      <c r="AY28" s="4" t="s">
        <v>101</v>
      </c>
      <c r="AZ28" s="4">
        <v>0</v>
      </c>
      <c r="BA28" s="4">
        <v>0</v>
      </c>
      <c r="BB28" s="4" t="s">
        <v>101</v>
      </c>
      <c r="BC28" s="4">
        <v>0</v>
      </c>
      <c r="BD28" s="4">
        <v>0</v>
      </c>
      <c r="BE28" s="4">
        <v>0</v>
      </c>
      <c r="BF28" s="4" t="s">
        <v>101</v>
      </c>
      <c r="BG28" s="4">
        <v>0</v>
      </c>
      <c r="BH28" s="4" t="s">
        <v>101</v>
      </c>
      <c r="BI28" s="4">
        <v>0</v>
      </c>
      <c r="BJ28" s="4">
        <v>0</v>
      </c>
      <c r="BK28" s="4">
        <v>0</v>
      </c>
      <c r="BL28" s="4" t="s">
        <v>101</v>
      </c>
      <c r="BM28" s="4" t="s">
        <v>101</v>
      </c>
      <c r="BN28" s="4">
        <v>0</v>
      </c>
      <c r="BO28" s="4">
        <v>1</v>
      </c>
      <c r="BP28" s="4">
        <v>0</v>
      </c>
      <c r="BQ28" s="4" t="s">
        <v>101</v>
      </c>
      <c r="BR28" s="4" t="s">
        <v>101</v>
      </c>
      <c r="BS28" s="4" t="s">
        <v>101</v>
      </c>
      <c r="BT28" s="4" t="s">
        <v>101</v>
      </c>
      <c r="BU28" s="4" t="s">
        <v>101</v>
      </c>
      <c r="BV28" s="4">
        <v>1</v>
      </c>
      <c r="BW28" s="4">
        <v>1</v>
      </c>
      <c r="BX28" s="4" t="s">
        <v>101</v>
      </c>
      <c r="BY28" s="4">
        <v>0</v>
      </c>
      <c r="BZ28" s="4" t="s">
        <v>101</v>
      </c>
      <c r="CA28" s="4" t="s">
        <v>101</v>
      </c>
      <c r="CB28" s="19" t="s">
        <v>111</v>
      </c>
      <c r="CC28" s="19" t="s">
        <v>109</v>
      </c>
      <c r="CD28" s="19" t="s">
        <v>111</v>
      </c>
      <c r="CE28" s="19" t="s">
        <v>109</v>
      </c>
      <c r="CF28" s="19" t="s">
        <v>111</v>
      </c>
      <c r="CG28" s="19" t="s">
        <v>109</v>
      </c>
      <c r="CH28" s="46" t="s">
        <v>130</v>
      </c>
      <c r="CI28" s="46" t="s">
        <v>111</v>
      </c>
      <c r="CJ28" s="46" t="s">
        <v>111</v>
      </c>
      <c r="CK28" s="46" t="s">
        <v>130</v>
      </c>
      <c r="CL28" s="46" t="s">
        <v>111</v>
      </c>
      <c r="CM28" s="46" t="s">
        <v>111</v>
      </c>
      <c r="CN28" s="46" t="s">
        <v>130</v>
      </c>
      <c r="CO28" s="46" t="s">
        <v>111</v>
      </c>
      <c r="CP28" s="46" t="s">
        <v>109</v>
      </c>
    </row>
    <row r="29" spans="1:94">
      <c r="A29" s="4" t="s">
        <v>212</v>
      </c>
      <c r="B29" s="4">
        <v>6</v>
      </c>
      <c r="C29" s="29">
        <v>40876</v>
      </c>
      <c r="D29" s="29" t="s">
        <v>189</v>
      </c>
      <c r="E29" s="4">
        <v>1991</v>
      </c>
      <c r="F29" s="4" t="s">
        <v>120</v>
      </c>
      <c r="G29" s="4" t="s">
        <v>93</v>
      </c>
      <c r="H29" s="4" t="s">
        <v>94</v>
      </c>
      <c r="I29" s="4" t="s">
        <v>95</v>
      </c>
      <c r="J29" s="45" t="s">
        <v>132</v>
      </c>
      <c r="K29" s="45" t="s">
        <v>97</v>
      </c>
      <c r="L29" s="4" t="s">
        <v>133</v>
      </c>
      <c r="M29" s="4" t="s">
        <v>228</v>
      </c>
      <c r="N29" s="4" t="s">
        <v>139</v>
      </c>
      <c r="O29" s="4">
        <v>5</v>
      </c>
      <c r="P29" s="4">
        <v>1</v>
      </c>
      <c r="Q29" s="4" t="s">
        <v>191</v>
      </c>
      <c r="R29" s="4" t="s">
        <v>178</v>
      </c>
      <c r="S29" s="4" t="s">
        <v>139</v>
      </c>
      <c r="T29" s="4" t="s">
        <v>139</v>
      </c>
      <c r="U29" s="4" t="s">
        <v>139</v>
      </c>
      <c r="V29" s="4">
        <v>1</v>
      </c>
      <c r="W29" s="4">
        <v>1</v>
      </c>
      <c r="X29" s="4">
        <v>0</v>
      </c>
      <c r="Y29" s="4" t="s">
        <v>106</v>
      </c>
      <c r="Z29" s="4" t="s">
        <v>108</v>
      </c>
      <c r="AA29" s="4" t="s">
        <v>108</v>
      </c>
      <c r="AB29" s="4" t="s">
        <v>217</v>
      </c>
      <c r="AC29" s="4" t="s">
        <v>108</v>
      </c>
      <c r="AD29" s="4" t="s">
        <v>217</v>
      </c>
      <c r="AE29" s="4" t="s">
        <v>101</v>
      </c>
      <c r="AF29" s="4" t="s">
        <v>108</v>
      </c>
      <c r="AG29" s="4" t="s">
        <v>108</v>
      </c>
      <c r="AH29" s="4" t="s">
        <v>101</v>
      </c>
      <c r="AI29" s="4" t="s">
        <v>108</v>
      </c>
      <c r="AJ29" s="4" t="s">
        <v>108</v>
      </c>
      <c r="AK29" s="4" t="s">
        <v>108</v>
      </c>
      <c r="AL29" s="4" t="s">
        <v>108</v>
      </c>
      <c r="AM29" s="4" t="s">
        <v>108</v>
      </c>
      <c r="AN29" s="4" t="s">
        <v>101</v>
      </c>
      <c r="AO29" s="4" t="s">
        <v>108</v>
      </c>
      <c r="AP29" s="4" t="s">
        <v>108</v>
      </c>
      <c r="AQ29" s="4" t="s">
        <v>101</v>
      </c>
      <c r="AR29" s="4">
        <v>0</v>
      </c>
      <c r="AS29" s="4">
        <v>0</v>
      </c>
      <c r="AT29" s="4">
        <v>0</v>
      </c>
      <c r="AU29" s="4">
        <v>1</v>
      </c>
      <c r="AV29" s="4" t="s">
        <v>101</v>
      </c>
      <c r="AW29" s="4">
        <v>1</v>
      </c>
      <c r="AX29" s="4">
        <v>0</v>
      </c>
      <c r="AY29" s="4" t="s">
        <v>101</v>
      </c>
      <c r="AZ29" s="4">
        <v>0</v>
      </c>
      <c r="BA29" s="4">
        <v>1</v>
      </c>
      <c r="BB29" s="4">
        <v>0</v>
      </c>
      <c r="BC29" s="4" t="s">
        <v>101</v>
      </c>
      <c r="BD29" s="4">
        <v>0</v>
      </c>
      <c r="BE29" s="4">
        <v>1</v>
      </c>
      <c r="BF29" s="4" t="s">
        <v>101</v>
      </c>
      <c r="BG29" s="4">
        <v>1</v>
      </c>
      <c r="BH29" s="4">
        <v>0</v>
      </c>
      <c r="BI29" s="4" t="s">
        <v>101</v>
      </c>
      <c r="BJ29" s="4">
        <v>0</v>
      </c>
      <c r="BK29" s="4">
        <v>1</v>
      </c>
      <c r="BL29" s="4" t="s">
        <v>101</v>
      </c>
      <c r="BM29" s="4">
        <v>0</v>
      </c>
      <c r="BN29" s="4" t="s">
        <v>101</v>
      </c>
      <c r="BO29" s="4">
        <v>1</v>
      </c>
      <c r="BP29" s="4">
        <v>1</v>
      </c>
      <c r="BQ29" s="4" t="s">
        <v>101</v>
      </c>
      <c r="BR29" s="4" t="s">
        <v>101</v>
      </c>
      <c r="BS29" s="4">
        <v>1</v>
      </c>
      <c r="BT29" s="4">
        <v>0</v>
      </c>
      <c r="BU29" s="4" t="s">
        <v>101</v>
      </c>
      <c r="BV29" s="4" t="s">
        <v>101</v>
      </c>
      <c r="BW29" s="4" t="s">
        <v>101</v>
      </c>
      <c r="BX29" s="4" t="s">
        <v>101</v>
      </c>
      <c r="BY29" s="4">
        <v>0</v>
      </c>
      <c r="BZ29" s="4" t="s">
        <v>101</v>
      </c>
      <c r="CA29" s="4" t="s">
        <v>101</v>
      </c>
      <c r="CB29" s="19" t="s">
        <v>109</v>
      </c>
      <c r="CC29" s="19" t="s">
        <v>111</v>
      </c>
      <c r="CD29" s="19" t="s">
        <v>109</v>
      </c>
      <c r="CE29" s="19" t="s">
        <v>111</v>
      </c>
      <c r="CF29" s="19" t="s">
        <v>109</v>
      </c>
      <c r="CG29" s="19" t="s">
        <v>111</v>
      </c>
      <c r="CH29" s="46" t="s">
        <v>130</v>
      </c>
      <c r="CI29" s="46" t="s">
        <v>109</v>
      </c>
      <c r="CJ29" s="46" t="s">
        <v>111</v>
      </c>
      <c r="CK29" s="46" t="s">
        <v>130</v>
      </c>
      <c r="CL29" s="46" t="s">
        <v>109</v>
      </c>
      <c r="CM29" s="46" t="s">
        <v>111</v>
      </c>
      <c r="CN29" s="46" t="s">
        <v>130</v>
      </c>
      <c r="CO29" s="46" t="s">
        <v>109</v>
      </c>
      <c r="CP29" s="46" t="s">
        <v>111</v>
      </c>
    </row>
    <row r="30" spans="1:94">
      <c r="A30" s="4" t="s">
        <v>212</v>
      </c>
      <c r="B30" s="4">
        <v>7</v>
      </c>
      <c r="C30" s="29">
        <v>40876</v>
      </c>
      <c r="D30" s="29" t="s">
        <v>189</v>
      </c>
      <c r="E30" s="4">
        <v>1993</v>
      </c>
      <c r="F30" s="4" t="s">
        <v>92</v>
      </c>
      <c r="G30" s="4" t="s">
        <v>93</v>
      </c>
      <c r="H30" s="4" t="s">
        <v>94</v>
      </c>
      <c r="I30" s="4" t="s">
        <v>95</v>
      </c>
      <c r="J30" s="45" t="s">
        <v>132</v>
      </c>
      <c r="K30" s="45" t="s">
        <v>97</v>
      </c>
      <c r="L30" s="4" t="s">
        <v>98</v>
      </c>
      <c r="M30" s="4" t="s">
        <v>114</v>
      </c>
      <c r="N30" s="4" t="s">
        <v>229</v>
      </c>
      <c r="O30" s="4">
        <v>2</v>
      </c>
      <c r="P30" s="4">
        <v>2</v>
      </c>
      <c r="Q30" s="4" t="s">
        <v>101</v>
      </c>
      <c r="R30" s="4" t="s">
        <v>178</v>
      </c>
      <c r="S30" s="4" t="s">
        <v>230</v>
      </c>
      <c r="T30" s="4" t="s">
        <v>137</v>
      </c>
      <c r="U30" s="4" t="s">
        <v>105</v>
      </c>
      <c r="V30" s="4">
        <v>1</v>
      </c>
      <c r="W30" s="4">
        <v>2</v>
      </c>
      <c r="X30" s="4">
        <v>7</v>
      </c>
      <c r="Y30" s="4" t="s">
        <v>106</v>
      </c>
      <c r="Z30" s="4" t="s">
        <v>108</v>
      </c>
      <c r="AA30" s="4" t="s">
        <v>108</v>
      </c>
      <c r="AB30" s="4" t="s">
        <v>108</v>
      </c>
      <c r="AC30" s="4" t="s">
        <v>108</v>
      </c>
      <c r="AD30" s="4" t="s">
        <v>108</v>
      </c>
      <c r="AE30" s="4" t="s">
        <v>108</v>
      </c>
      <c r="AF30" s="4" t="s">
        <v>101</v>
      </c>
      <c r="AG30" s="4" t="s">
        <v>108</v>
      </c>
      <c r="AH30" s="4" t="s">
        <v>101</v>
      </c>
      <c r="AI30" s="4" t="s">
        <v>108</v>
      </c>
      <c r="AJ30" s="4" t="s">
        <v>108</v>
      </c>
      <c r="AK30" s="4" t="s">
        <v>108</v>
      </c>
      <c r="AL30" s="4" t="s">
        <v>108</v>
      </c>
      <c r="AM30" s="4" t="s">
        <v>108</v>
      </c>
      <c r="AN30" s="4" t="s">
        <v>108</v>
      </c>
      <c r="AO30" s="4" t="s">
        <v>101</v>
      </c>
      <c r="AP30" s="4" t="s">
        <v>108</v>
      </c>
      <c r="AQ30" s="4" t="s">
        <v>101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 t="s">
        <v>101</v>
      </c>
      <c r="AX30" s="4">
        <v>1</v>
      </c>
      <c r="AY30" s="4" t="s">
        <v>101</v>
      </c>
      <c r="AZ30" s="4">
        <v>1</v>
      </c>
      <c r="BA30" s="4">
        <v>1</v>
      </c>
      <c r="BB30" s="4">
        <v>1</v>
      </c>
      <c r="BC30" s="4">
        <v>1</v>
      </c>
      <c r="BD30" s="4" t="s">
        <v>101</v>
      </c>
      <c r="BE30" s="4">
        <v>1</v>
      </c>
      <c r="BF30" s="4" t="s">
        <v>101</v>
      </c>
      <c r="BG30" s="4">
        <v>1</v>
      </c>
      <c r="BH30" s="4">
        <v>1</v>
      </c>
      <c r="BI30" s="4">
        <v>1</v>
      </c>
      <c r="BJ30" s="4" t="s">
        <v>101</v>
      </c>
      <c r="BK30" s="4">
        <v>1</v>
      </c>
      <c r="BL30" s="4" t="s">
        <v>101</v>
      </c>
      <c r="BM30" s="4">
        <v>1</v>
      </c>
      <c r="BN30" s="4">
        <v>1</v>
      </c>
      <c r="BO30" s="4" t="s">
        <v>101</v>
      </c>
      <c r="BP30" s="4">
        <v>1</v>
      </c>
      <c r="BQ30" s="4" t="s">
        <v>101</v>
      </c>
      <c r="BR30" s="4">
        <v>1</v>
      </c>
      <c r="BS30" s="4" t="s">
        <v>101</v>
      </c>
      <c r="BT30" s="4">
        <v>1</v>
      </c>
      <c r="BU30" s="4" t="s">
        <v>101</v>
      </c>
      <c r="BV30" s="4" t="s">
        <v>101</v>
      </c>
      <c r="BW30" s="4">
        <v>1</v>
      </c>
      <c r="BX30" s="4" t="s">
        <v>101</v>
      </c>
      <c r="BY30" s="4" t="s">
        <v>101</v>
      </c>
      <c r="BZ30" s="4" t="s">
        <v>101</v>
      </c>
      <c r="CA30" s="4" t="s">
        <v>101</v>
      </c>
      <c r="CB30" s="19" t="s">
        <v>109</v>
      </c>
      <c r="CC30" s="19" t="s">
        <v>109</v>
      </c>
      <c r="CD30" s="19" t="s">
        <v>109</v>
      </c>
      <c r="CE30" s="19" t="s">
        <v>109</v>
      </c>
      <c r="CF30" s="19" t="s">
        <v>109</v>
      </c>
      <c r="CG30" s="19" t="s">
        <v>109</v>
      </c>
      <c r="CH30" s="46" t="s">
        <v>110</v>
      </c>
      <c r="CI30" s="46" t="s">
        <v>109</v>
      </c>
      <c r="CJ30" s="46" t="s">
        <v>109</v>
      </c>
      <c r="CK30" s="46" t="s">
        <v>130</v>
      </c>
      <c r="CL30" s="46" t="s">
        <v>109</v>
      </c>
      <c r="CM30" s="46" t="s">
        <v>109</v>
      </c>
      <c r="CN30" s="46" t="s">
        <v>130</v>
      </c>
      <c r="CO30" s="46" t="s">
        <v>109</v>
      </c>
      <c r="CP30" s="46" t="s">
        <v>109</v>
      </c>
    </row>
    <row r="31" spans="1:94">
      <c r="A31" s="4" t="s">
        <v>212</v>
      </c>
      <c r="B31" s="4">
        <v>8</v>
      </c>
      <c r="C31" s="29">
        <v>40876</v>
      </c>
      <c r="D31" s="29" t="s">
        <v>189</v>
      </c>
      <c r="E31" s="4">
        <v>1993</v>
      </c>
      <c r="F31" s="4" t="s">
        <v>92</v>
      </c>
      <c r="G31" s="4" t="s">
        <v>93</v>
      </c>
      <c r="H31" s="4" t="s">
        <v>94</v>
      </c>
      <c r="I31" s="4" t="s">
        <v>95</v>
      </c>
      <c r="J31" s="4" t="s">
        <v>158</v>
      </c>
      <c r="K31" s="45" t="s">
        <v>97</v>
      </c>
      <c r="L31" s="4" t="s">
        <v>98</v>
      </c>
      <c r="M31" s="4" t="s">
        <v>99</v>
      </c>
      <c r="N31" s="4" t="s">
        <v>213</v>
      </c>
      <c r="O31" s="4">
        <v>5</v>
      </c>
      <c r="P31" s="4">
        <v>2</v>
      </c>
      <c r="Q31" s="4" t="s">
        <v>101</v>
      </c>
      <c r="R31" s="4" t="s">
        <v>231</v>
      </c>
      <c r="S31" s="4" t="s">
        <v>105</v>
      </c>
      <c r="T31" s="4" t="s">
        <v>104</v>
      </c>
      <c r="U31" s="4" t="s">
        <v>105</v>
      </c>
      <c r="V31" s="4">
        <v>1</v>
      </c>
      <c r="W31" s="4">
        <v>1</v>
      </c>
      <c r="X31" s="4">
        <v>6</v>
      </c>
      <c r="Y31" s="4" t="s">
        <v>119</v>
      </c>
      <c r="Z31" s="4" t="s">
        <v>108</v>
      </c>
      <c r="AA31" s="4" t="s">
        <v>108</v>
      </c>
      <c r="AB31" s="4" t="s">
        <v>108</v>
      </c>
      <c r="AC31" s="4" t="s">
        <v>108</v>
      </c>
      <c r="AD31" s="4" t="s">
        <v>119</v>
      </c>
      <c r="AE31" s="4" t="s">
        <v>108</v>
      </c>
      <c r="AF31" s="4" t="s">
        <v>108</v>
      </c>
      <c r="AG31" s="4" t="s">
        <v>101</v>
      </c>
      <c r="AH31" s="4" t="s">
        <v>101</v>
      </c>
      <c r="AI31" s="4" t="s">
        <v>108</v>
      </c>
      <c r="AJ31" s="4" t="s">
        <v>108</v>
      </c>
      <c r="AK31" s="4" t="s">
        <v>108</v>
      </c>
      <c r="AL31" s="4" t="s">
        <v>108</v>
      </c>
      <c r="AM31" s="4" t="s">
        <v>119</v>
      </c>
      <c r="AN31" s="4" t="s">
        <v>108</v>
      </c>
      <c r="AO31" s="4" t="s">
        <v>108</v>
      </c>
      <c r="AP31" s="4" t="s">
        <v>101</v>
      </c>
      <c r="AQ31" s="4" t="s">
        <v>101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/>
      <c r="AX31" s="4" t="s">
        <v>101</v>
      </c>
      <c r="AY31" s="4" t="s">
        <v>101</v>
      </c>
      <c r="AZ31" s="4">
        <v>1</v>
      </c>
      <c r="BA31" s="4">
        <v>0</v>
      </c>
      <c r="BB31" s="4">
        <v>0</v>
      </c>
      <c r="BC31" s="4">
        <v>0</v>
      </c>
      <c r="BD31" s="4">
        <v>0</v>
      </c>
      <c r="BE31" s="4" t="s">
        <v>101</v>
      </c>
      <c r="BF31" s="4" t="s">
        <v>101</v>
      </c>
      <c r="BG31" s="4">
        <v>0</v>
      </c>
      <c r="BH31" s="4">
        <v>0</v>
      </c>
      <c r="BI31" s="4">
        <v>0</v>
      </c>
      <c r="BJ31" s="4">
        <v>0</v>
      </c>
      <c r="BK31" s="4" t="s">
        <v>101</v>
      </c>
      <c r="BL31" s="4" t="s">
        <v>101</v>
      </c>
      <c r="BM31" s="4">
        <v>0</v>
      </c>
      <c r="BN31" s="4">
        <v>0</v>
      </c>
      <c r="BO31" s="4">
        <v>0</v>
      </c>
      <c r="BP31" s="4" t="s">
        <v>101</v>
      </c>
      <c r="BQ31" s="4" t="s">
        <v>101</v>
      </c>
      <c r="BR31" s="4">
        <v>0</v>
      </c>
      <c r="BS31" s="4">
        <v>0</v>
      </c>
      <c r="BT31" s="4" t="s">
        <v>101</v>
      </c>
      <c r="BU31" s="4" t="s">
        <v>101</v>
      </c>
      <c r="BV31" s="4">
        <v>0</v>
      </c>
      <c r="BW31" s="4" t="s">
        <v>101</v>
      </c>
      <c r="BX31" s="4" t="s">
        <v>101</v>
      </c>
      <c r="BY31" s="4" t="s">
        <v>101</v>
      </c>
      <c r="BZ31" s="4" t="s">
        <v>101</v>
      </c>
      <c r="CA31" s="4" t="s">
        <v>101</v>
      </c>
      <c r="CB31" s="19" t="s">
        <v>111</v>
      </c>
      <c r="CC31" s="19" t="s">
        <v>109</v>
      </c>
      <c r="CD31" s="19" t="s">
        <v>111</v>
      </c>
      <c r="CE31" s="19" t="s">
        <v>109</v>
      </c>
      <c r="CF31" s="19" t="s">
        <v>111</v>
      </c>
      <c r="CG31" s="19" t="s">
        <v>109</v>
      </c>
      <c r="CH31" s="46" t="s">
        <v>130</v>
      </c>
      <c r="CI31" s="46" t="s">
        <v>111</v>
      </c>
      <c r="CJ31" s="46" t="s">
        <v>109</v>
      </c>
      <c r="CK31" s="46" t="s">
        <v>130</v>
      </c>
      <c r="CL31" s="46" t="s">
        <v>111</v>
      </c>
      <c r="CM31" s="46" t="s">
        <v>109</v>
      </c>
      <c r="CN31" s="46" t="s">
        <v>130</v>
      </c>
      <c r="CO31" s="46" t="s">
        <v>111</v>
      </c>
      <c r="CP31" s="46" t="s">
        <v>109</v>
      </c>
    </row>
    <row r="32" spans="1:94">
      <c r="A32" s="4" t="s">
        <v>232</v>
      </c>
      <c r="B32" s="4">
        <v>1</v>
      </c>
      <c r="C32" s="29">
        <v>40876</v>
      </c>
      <c r="D32" s="29" t="s">
        <v>189</v>
      </c>
      <c r="E32" s="4">
        <v>1990</v>
      </c>
      <c r="F32" s="4" t="s">
        <v>112</v>
      </c>
      <c r="G32" s="4" t="s">
        <v>93</v>
      </c>
      <c r="H32" s="4" t="s">
        <v>94</v>
      </c>
      <c r="I32" s="4" t="s">
        <v>95</v>
      </c>
      <c r="J32" s="45" t="s">
        <v>132</v>
      </c>
      <c r="K32" s="45" t="s">
        <v>122</v>
      </c>
      <c r="L32" s="4" t="s">
        <v>98</v>
      </c>
      <c r="M32" s="4" t="s">
        <v>99</v>
      </c>
      <c r="N32" s="4" t="s">
        <v>105</v>
      </c>
      <c r="O32" s="4">
        <v>2</v>
      </c>
      <c r="P32" s="4">
        <v>2</v>
      </c>
      <c r="Q32" s="4" t="s">
        <v>101</v>
      </c>
      <c r="R32" s="4" t="s">
        <v>102</v>
      </c>
      <c r="S32" s="4" t="s">
        <v>101</v>
      </c>
      <c r="T32" s="4" t="s">
        <v>163</v>
      </c>
      <c r="U32" s="4" t="s">
        <v>105</v>
      </c>
      <c r="V32" s="4">
        <v>2</v>
      </c>
      <c r="W32" s="4">
        <v>2</v>
      </c>
      <c r="X32" s="4">
        <v>2</v>
      </c>
      <c r="Y32" s="4" t="s">
        <v>118</v>
      </c>
      <c r="Z32" s="4" t="s">
        <v>101</v>
      </c>
      <c r="AA32" s="4" t="s">
        <v>108</v>
      </c>
      <c r="AB32" s="4" t="s">
        <v>107</v>
      </c>
      <c r="AC32" s="4" t="s">
        <v>119</v>
      </c>
      <c r="AD32" s="4" t="s">
        <v>107</v>
      </c>
      <c r="AE32" s="4" t="s">
        <v>119</v>
      </c>
      <c r="AF32" s="4" t="s">
        <v>217</v>
      </c>
      <c r="AG32" s="4" t="s">
        <v>101</v>
      </c>
      <c r="AH32" s="4" t="s">
        <v>101</v>
      </c>
      <c r="AI32" s="4" t="s">
        <v>101</v>
      </c>
      <c r="AJ32" s="4" t="s">
        <v>108</v>
      </c>
      <c r="AK32" s="4" t="s">
        <v>107</v>
      </c>
      <c r="AL32" s="4" t="s">
        <v>119</v>
      </c>
      <c r="AM32" s="4" t="s">
        <v>107</v>
      </c>
      <c r="AN32" s="4" t="s">
        <v>119</v>
      </c>
      <c r="AO32" s="4" t="s">
        <v>108</v>
      </c>
      <c r="AP32" s="4" t="s">
        <v>101</v>
      </c>
      <c r="AQ32" s="4" t="s">
        <v>101</v>
      </c>
      <c r="AR32" s="4" t="s">
        <v>101</v>
      </c>
      <c r="AS32" s="4" t="s">
        <v>101</v>
      </c>
      <c r="AT32" s="4" t="s">
        <v>101</v>
      </c>
      <c r="AU32" s="4" t="s">
        <v>101</v>
      </c>
      <c r="AV32" s="4" t="s">
        <v>101</v>
      </c>
      <c r="AW32" s="4" t="s">
        <v>101</v>
      </c>
      <c r="AX32" s="4" t="s">
        <v>101</v>
      </c>
      <c r="AY32" s="4" t="s">
        <v>101</v>
      </c>
      <c r="AZ32" s="4">
        <v>1</v>
      </c>
      <c r="BA32" s="4">
        <v>0</v>
      </c>
      <c r="BB32" s="4">
        <v>0</v>
      </c>
      <c r="BC32" s="4">
        <v>0</v>
      </c>
      <c r="BD32" s="4">
        <v>0</v>
      </c>
      <c r="BE32" s="4" t="s">
        <v>101</v>
      </c>
      <c r="BF32" s="4" t="s">
        <v>101</v>
      </c>
      <c r="BG32" s="4">
        <v>0</v>
      </c>
      <c r="BH32" s="4">
        <v>1</v>
      </c>
      <c r="BI32" s="4">
        <v>0</v>
      </c>
      <c r="BJ32" s="4">
        <v>0</v>
      </c>
      <c r="BK32" s="4" t="s">
        <v>101</v>
      </c>
      <c r="BL32" s="4" t="s">
        <v>101</v>
      </c>
      <c r="BM32" s="4">
        <v>0</v>
      </c>
      <c r="BN32" s="4">
        <v>0</v>
      </c>
      <c r="BO32" s="4">
        <v>0</v>
      </c>
      <c r="BP32" s="4" t="s">
        <v>101</v>
      </c>
      <c r="BQ32" s="4" t="s">
        <v>101</v>
      </c>
      <c r="BR32" s="4">
        <v>0</v>
      </c>
      <c r="BS32" s="4">
        <v>0</v>
      </c>
      <c r="BT32" s="4" t="s">
        <v>101</v>
      </c>
      <c r="BU32" s="4" t="s">
        <v>101</v>
      </c>
      <c r="BV32" s="4">
        <v>0</v>
      </c>
      <c r="BW32" s="4" t="s">
        <v>101</v>
      </c>
      <c r="BX32" s="4" t="s">
        <v>101</v>
      </c>
      <c r="BY32" s="4" t="s">
        <v>101</v>
      </c>
      <c r="BZ32" s="4" t="s">
        <v>101</v>
      </c>
      <c r="CA32" s="4" t="s">
        <v>101</v>
      </c>
      <c r="CB32" s="19" t="s">
        <v>109</v>
      </c>
      <c r="CC32" s="19" t="s">
        <v>109</v>
      </c>
      <c r="CD32" s="19" t="s">
        <v>109</v>
      </c>
      <c r="CE32" s="19" t="s">
        <v>109</v>
      </c>
      <c r="CF32" s="19" t="s">
        <v>109</v>
      </c>
      <c r="CG32" s="19" t="s">
        <v>109</v>
      </c>
      <c r="CH32" s="46" t="s">
        <v>110</v>
      </c>
      <c r="CI32" s="46" t="s">
        <v>109</v>
      </c>
      <c r="CJ32" s="46" t="s">
        <v>109</v>
      </c>
      <c r="CK32" s="46" t="s">
        <v>110</v>
      </c>
      <c r="CL32" s="46" t="s">
        <v>109</v>
      </c>
      <c r="CM32" s="46" t="s">
        <v>109</v>
      </c>
      <c r="CN32" s="46" t="s">
        <v>130</v>
      </c>
      <c r="CO32" s="46" t="s">
        <v>109</v>
      </c>
      <c r="CP32" s="46" t="s">
        <v>109</v>
      </c>
    </row>
    <row r="33" spans="1:94">
      <c r="A33" s="4" t="s">
        <v>232</v>
      </c>
      <c r="B33" s="4">
        <v>2</v>
      </c>
      <c r="C33" s="29">
        <v>40876</v>
      </c>
      <c r="D33" s="29" t="s">
        <v>189</v>
      </c>
      <c r="E33" s="4">
        <v>1989</v>
      </c>
      <c r="F33" s="4" t="s">
        <v>112</v>
      </c>
      <c r="G33" s="4" t="s">
        <v>93</v>
      </c>
      <c r="H33" s="4" t="s">
        <v>94</v>
      </c>
      <c r="I33" s="4" t="s">
        <v>166</v>
      </c>
      <c r="J33" s="45" t="s">
        <v>96</v>
      </c>
      <c r="K33" s="45" t="s">
        <v>97</v>
      </c>
      <c r="L33" s="4" t="s">
        <v>99</v>
      </c>
      <c r="M33" s="4" t="s">
        <v>99</v>
      </c>
      <c r="N33" s="4" t="s">
        <v>105</v>
      </c>
      <c r="O33" s="4">
        <v>1</v>
      </c>
      <c r="P33" s="4">
        <v>0</v>
      </c>
      <c r="Q33" s="4" t="s">
        <v>101</v>
      </c>
      <c r="R33" s="4" t="s">
        <v>178</v>
      </c>
      <c r="S33" s="4" t="s">
        <v>101</v>
      </c>
      <c r="T33" s="4" t="s">
        <v>233</v>
      </c>
      <c r="U33" s="4" t="s">
        <v>105</v>
      </c>
      <c r="V33" s="4">
        <v>1</v>
      </c>
      <c r="W33" s="4">
        <v>0</v>
      </c>
      <c r="X33" s="4">
        <v>1</v>
      </c>
      <c r="Y33" s="4" t="s">
        <v>119</v>
      </c>
      <c r="Z33" s="4" t="s">
        <v>108</v>
      </c>
      <c r="AA33" s="4" t="s">
        <v>101</v>
      </c>
      <c r="AB33" s="4" t="s">
        <v>108</v>
      </c>
      <c r="AC33" s="4" t="s">
        <v>108</v>
      </c>
      <c r="AD33" s="4" t="s">
        <v>108</v>
      </c>
      <c r="AE33" s="4" t="s">
        <v>108</v>
      </c>
      <c r="AF33" s="4" t="s">
        <v>119</v>
      </c>
      <c r="AG33" s="4" t="s">
        <v>101</v>
      </c>
      <c r="AH33" s="4" t="s">
        <v>101</v>
      </c>
      <c r="AI33" s="4" t="s">
        <v>108</v>
      </c>
      <c r="AJ33" s="4" t="s">
        <v>101</v>
      </c>
      <c r="AK33" s="4" t="s">
        <v>108</v>
      </c>
      <c r="AL33" s="4" t="s">
        <v>108</v>
      </c>
      <c r="AM33" s="4" t="s">
        <v>108</v>
      </c>
      <c r="AN33" s="4" t="s">
        <v>108</v>
      </c>
      <c r="AO33" s="4" t="s">
        <v>108</v>
      </c>
      <c r="AP33" s="4" t="s">
        <v>101</v>
      </c>
      <c r="AQ33" s="4" t="s">
        <v>101</v>
      </c>
      <c r="AR33" s="4" t="s">
        <v>101</v>
      </c>
      <c r="AS33" s="4">
        <v>1</v>
      </c>
      <c r="AT33" s="4">
        <v>0</v>
      </c>
      <c r="AU33" s="4">
        <v>1</v>
      </c>
      <c r="AV33" s="4">
        <v>0</v>
      </c>
      <c r="AW33" s="4">
        <v>0</v>
      </c>
      <c r="AX33" s="4" t="s">
        <v>101</v>
      </c>
      <c r="AY33" s="4" t="s">
        <v>101</v>
      </c>
      <c r="AZ33" s="4" t="s">
        <v>101</v>
      </c>
      <c r="BA33" s="4" t="s">
        <v>101</v>
      </c>
      <c r="BB33" s="4" t="s">
        <v>101</v>
      </c>
      <c r="BC33" s="4" t="s">
        <v>101</v>
      </c>
      <c r="BD33" s="4" t="s">
        <v>101</v>
      </c>
      <c r="BE33" s="4" t="s">
        <v>101</v>
      </c>
      <c r="BF33" s="4" t="s">
        <v>101</v>
      </c>
      <c r="BG33" s="4">
        <v>0</v>
      </c>
      <c r="BH33" s="4">
        <v>1</v>
      </c>
      <c r="BI33" s="4">
        <v>0</v>
      </c>
      <c r="BJ33" s="4">
        <v>0</v>
      </c>
      <c r="BK33" s="4" t="s">
        <v>101</v>
      </c>
      <c r="BL33" s="4" t="s">
        <v>101</v>
      </c>
      <c r="BM33" s="4">
        <v>0</v>
      </c>
      <c r="BN33" s="4">
        <v>0</v>
      </c>
      <c r="BO33" s="4">
        <v>0</v>
      </c>
      <c r="BP33" s="4" t="s">
        <v>101</v>
      </c>
      <c r="BQ33" s="4" t="s">
        <v>101</v>
      </c>
      <c r="BR33" s="4">
        <v>0</v>
      </c>
      <c r="BS33" s="4">
        <v>0</v>
      </c>
      <c r="BT33" s="4" t="s">
        <v>101</v>
      </c>
      <c r="BU33" s="4" t="s">
        <v>101</v>
      </c>
      <c r="BV33" s="4">
        <v>0</v>
      </c>
      <c r="BW33" s="4" t="s">
        <v>101</v>
      </c>
      <c r="BX33" s="4" t="s">
        <v>101</v>
      </c>
      <c r="BY33" s="4" t="s">
        <v>101</v>
      </c>
      <c r="BZ33" s="4" t="s">
        <v>101</v>
      </c>
      <c r="CA33" s="4" t="s">
        <v>101</v>
      </c>
      <c r="CB33" s="19" t="s">
        <v>109</v>
      </c>
      <c r="CC33" s="19" t="s">
        <v>109</v>
      </c>
      <c r="CD33" s="19" t="s">
        <v>111</v>
      </c>
      <c r="CE33" s="19" t="s">
        <v>109</v>
      </c>
      <c r="CF33" s="19" t="s">
        <v>109</v>
      </c>
      <c r="CG33" s="19" t="s">
        <v>111</v>
      </c>
      <c r="CH33" s="46" t="s">
        <v>110</v>
      </c>
      <c r="CI33" s="46" t="s">
        <v>111</v>
      </c>
      <c r="CJ33" s="46" t="s">
        <v>111</v>
      </c>
      <c r="CK33" s="46" t="s">
        <v>110</v>
      </c>
      <c r="CL33" s="46" t="s">
        <v>109</v>
      </c>
      <c r="CM33" s="46" t="s">
        <v>109</v>
      </c>
      <c r="CN33" s="46" t="s">
        <v>130</v>
      </c>
      <c r="CO33" s="46" t="s">
        <v>111</v>
      </c>
      <c r="CP33" s="46" t="s">
        <v>109</v>
      </c>
    </row>
    <row r="34" spans="1:94">
      <c r="A34" s="4" t="s">
        <v>232</v>
      </c>
      <c r="B34" s="4">
        <v>3</v>
      </c>
      <c r="C34" s="29">
        <v>40876</v>
      </c>
      <c r="D34" s="29" t="s">
        <v>189</v>
      </c>
      <c r="E34" s="4">
        <v>1987</v>
      </c>
      <c r="F34" s="4" t="s">
        <v>112</v>
      </c>
      <c r="G34" s="4" t="s">
        <v>93</v>
      </c>
      <c r="H34" s="4" t="s">
        <v>94</v>
      </c>
      <c r="I34" s="4" t="s">
        <v>166</v>
      </c>
      <c r="J34" s="45" t="s">
        <v>96</v>
      </c>
      <c r="K34" s="45" t="s">
        <v>122</v>
      </c>
      <c r="L34" s="45" t="s">
        <v>123</v>
      </c>
      <c r="M34" s="4" t="s">
        <v>114</v>
      </c>
      <c r="N34" s="4" t="s">
        <v>234</v>
      </c>
      <c r="O34" s="4">
        <v>2</v>
      </c>
      <c r="P34" s="4">
        <v>0</v>
      </c>
      <c r="Q34" s="4" t="s">
        <v>101</v>
      </c>
      <c r="R34" s="4" t="s">
        <v>235</v>
      </c>
      <c r="S34" s="4" t="s">
        <v>101</v>
      </c>
      <c r="T34" s="4" t="s">
        <v>236</v>
      </c>
      <c r="U34" s="4" t="s">
        <v>200</v>
      </c>
      <c r="V34" s="4">
        <v>1</v>
      </c>
      <c r="W34" s="4">
        <v>1</v>
      </c>
      <c r="X34" s="4">
        <v>1</v>
      </c>
      <c r="Y34" s="4" t="s">
        <v>118</v>
      </c>
      <c r="Z34" s="4" t="s">
        <v>108</v>
      </c>
      <c r="AA34" s="4" t="s">
        <v>107</v>
      </c>
      <c r="AB34" s="4" t="s">
        <v>101</v>
      </c>
      <c r="AC34" s="4" t="s">
        <v>119</v>
      </c>
      <c r="AD34" s="4" t="s">
        <v>108</v>
      </c>
      <c r="AE34" s="4" t="s">
        <v>119</v>
      </c>
      <c r="AF34" s="4" t="s">
        <v>119</v>
      </c>
      <c r="AG34" s="4" t="s">
        <v>101</v>
      </c>
      <c r="AH34" s="4" t="s">
        <v>101</v>
      </c>
      <c r="AI34" s="4" t="s">
        <v>108</v>
      </c>
      <c r="AJ34" s="4" t="s">
        <v>107</v>
      </c>
      <c r="AK34" s="4" t="s">
        <v>101</v>
      </c>
      <c r="AL34" s="4" t="s">
        <v>119</v>
      </c>
      <c r="AM34" s="4" t="s">
        <v>108</v>
      </c>
      <c r="AN34" s="4" t="s">
        <v>119</v>
      </c>
      <c r="AO34" s="4" t="s">
        <v>119</v>
      </c>
      <c r="AP34" s="4" t="s">
        <v>101</v>
      </c>
      <c r="AQ34" s="4" t="s">
        <v>101</v>
      </c>
      <c r="AR34" s="4">
        <v>0</v>
      </c>
      <c r="AS34" s="4" t="s">
        <v>101</v>
      </c>
      <c r="AT34" s="4">
        <v>0</v>
      </c>
      <c r="AU34" s="4">
        <v>1</v>
      </c>
      <c r="AV34" s="4">
        <v>0</v>
      </c>
      <c r="AW34" s="4">
        <v>0</v>
      </c>
      <c r="AX34" s="4" t="s">
        <v>101</v>
      </c>
      <c r="AY34" s="4" t="s">
        <v>101</v>
      </c>
      <c r="AZ34" s="4" t="s">
        <v>101</v>
      </c>
      <c r="BA34" s="4">
        <v>0</v>
      </c>
      <c r="BB34" s="4">
        <v>0</v>
      </c>
      <c r="BC34" s="4">
        <v>0</v>
      </c>
      <c r="BD34" s="4">
        <v>0</v>
      </c>
      <c r="BE34" s="4" t="s">
        <v>101</v>
      </c>
      <c r="BF34" s="4" t="s">
        <v>101</v>
      </c>
      <c r="BG34" s="4" t="s">
        <v>101</v>
      </c>
      <c r="BH34" s="4" t="s">
        <v>101</v>
      </c>
      <c r="BI34" s="4" t="s">
        <v>101</v>
      </c>
      <c r="BJ34" s="4" t="s">
        <v>101</v>
      </c>
      <c r="BK34" s="4" t="s">
        <v>101</v>
      </c>
      <c r="BL34" s="4" t="s">
        <v>101</v>
      </c>
      <c r="BM34" s="4">
        <v>0</v>
      </c>
      <c r="BN34" s="4">
        <v>0</v>
      </c>
      <c r="BO34" s="4">
        <v>0</v>
      </c>
      <c r="BP34" s="4" t="s">
        <v>101</v>
      </c>
      <c r="BQ34" s="4" t="s">
        <v>101</v>
      </c>
      <c r="BR34" s="4">
        <v>0</v>
      </c>
      <c r="BS34" s="4">
        <v>0</v>
      </c>
      <c r="BT34" s="4" t="s">
        <v>101</v>
      </c>
      <c r="BU34" s="4" t="s">
        <v>101</v>
      </c>
      <c r="BV34" s="4">
        <v>0</v>
      </c>
      <c r="BW34" s="4" t="s">
        <v>101</v>
      </c>
      <c r="BX34" s="4" t="s">
        <v>101</v>
      </c>
      <c r="BY34" s="4" t="s">
        <v>101</v>
      </c>
      <c r="BZ34" s="4" t="s">
        <v>101</v>
      </c>
      <c r="CA34" s="4" t="s">
        <v>101</v>
      </c>
      <c r="CB34" s="19" t="s">
        <v>109</v>
      </c>
      <c r="CC34" s="19" t="s">
        <v>109</v>
      </c>
      <c r="CD34" s="19" t="s">
        <v>111</v>
      </c>
      <c r="CE34" s="19" t="s">
        <v>109</v>
      </c>
      <c r="CF34" s="19" t="s">
        <v>111</v>
      </c>
      <c r="CG34" s="19" t="s">
        <v>109</v>
      </c>
      <c r="CH34" s="46" t="s">
        <v>130</v>
      </c>
      <c r="CI34" s="46" t="s">
        <v>109</v>
      </c>
      <c r="CJ34" s="46" t="s">
        <v>109</v>
      </c>
      <c r="CK34" s="46" t="s">
        <v>130</v>
      </c>
      <c r="CL34" s="46" t="s">
        <v>111</v>
      </c>
      <c r="CM34" s="46" t="s">
        <v>109</v>
      </c>
      <c r="CN34" s="46" t="s">
        <v>130</v>
      </c>
      <c r="CO34" s="46" t="s">
        <v>111</v>
      </c>
      <c r="CP34" s="46" t="s">
        <v>109</v>
      </c>
    </row>
    <row r="35" spans="1:94">
      <c r="A35" s="4" t="s">
        <v>232</v>
      </c>
      <c r="B35" s="4">
        <v>4</v>
      </c>
      <c r="C35" s="29">
        <v>40876</v>
      </c>
      <c r="D35" s="29" t="s">
        <v>189</v>
      </c>
      <c r="E35" s="4">
        <v>1993</v>
      </c>
      <c r="F35" s="4" t="s">
        <v>138</v>
      </c>
      <c r="G35" s="4" t="s">
        <v>93</v>
      </c>
      <c r="H35" s="4" t="s">
        <v>94</v>
      </c>
      <c r="I35" s="4" t="s">
        <v>113</v>
      </c>
      <c r="J35" s="45" t="s">
        <v>96</v>
      </c>
      <c r="K35" s="45" t="s">
        <v>122</v>
      </c>
      <c r="L35" s="45" t="s">
        <v>167</v>
      </c>
      <c r="M35" s="4" t="s">
        <v>228</v>
      </c>
      <c r="N35" s="4" t="s">
        <v>237</v>
      </c>
      <c r="O35" s="4">
        <v>2</v>
      </c>
      <c r="P35" s="4">
        <v>2</v>
      </c>
      <c r="Q35" s="4" t="s">
        <v>101</v>
      </c>
      <c r="R35" s="4" t="s">
        <v>238</v>
      </c>
      <c r="S35" s="4" t="s">
        <v>101</v>
      </c>
      <c r="T35" s="4" t="s">
        <v>101</v>
      </c>
      <c r="U35" s="4" t="s">
        <v>101</v>
      </c>
      <c r="V35" s="4">
        <v>0</v>
      </c>
      <c r="W35" s="4">
        <v>0</v>
      </c>
      <c r="X35" s="4">
        <v>0</v>
      </c>
      <c r="Y35" s="4" t="s">
        <v>119</v>
      </c>
      <c r="Z35" s="4" t="s">
        <v>108</v>
      </c>
      <c r="AA35" s="4" t="s">
        <v>108</v>
      </c>
      <c r="AB35" s="4" t="s">
        <v>108</v>
      </c>
      <c r="AC35" s="4" t="s">
        <v>101</v>
      </c>
      <c r="AD35" s="4" t="s">
        <v>119</v>
      </c>
      <c r="AE35" s="4" t="s">
        <v>119</v>
      </c>
      <c r="AF35" s="4" t="s">
        <v>108</v>
      </c>
      <c r="AG35" s="4" t="s">
        <v>101</v>
      </c>
      <c r="AH35" s="4" t="s">
        <v>101</v>
      </c>
      <c r="AI35" s="4" t="s">
        <v>108</v>
      </c>
      <c r="AJ35" s="4" t="s">
        <v>108</v>
      </c>
      <c r="AK35" s="4" t="s">
        <v>108</v>
      </c>
      <c r="AL35" s="4" t="s">
        <v>101</v>
      </c>
      <c r="AM35" s="4" t="s">
        <v>108</v>
      </c>
      <c r="AN35" s="4" t="s">
        <v>119</v>
      </c>
      <c r="AO35" s="4" t="s">
        <v>108</v>
      </c>
      <c r="AP35" s="4" t="s">
        <v>101</v>
      </c>
      <c r="AQ35" s="4" t="s">
        <v>101</v>
      </c>
      <c r="AR35" s="4">
        <v>1</v>
      </c>
      <c r="AS35" s="4">
        <v>1</v>
      </c>
      <c r="AT35" s="4" t="s">
        <v>101</v>
      </c>
      <c r="AU35" s="4">
        <v>1</v>
      </c>
      <c r="AV35" s="4">
        <v>0</v>
      </c>
      <c r="AW35" s="4">
        <v>0</v>
      </c>
      <c r="AX35" s="4" t="s">
        <v>101</v>
      </c>
      <c r="AY35" s="4" t="s">
        <v>101</v>
      </c>
      <c r="AZ35" s="4">
        <v>1</v>
      </c>
      <c r="BA35" s="4" t="s">
        <v>101</v>
      </c>
      <c r="BB35" s="4">
        <v>1</v>
      </c>
      <c r="BC35" s="4">
        <v>0</v>
      </c>
      <c r="BD35" s="4">
        <v>0</v>
      </c>
      <c r="BE35" s="4" t="s">
        <v>101</v>
      </c>
      <c r="BF35" s="4" t="s">
        <v>101</v>
      </c>
      <c r="BG35" s="4" t="s">
        <v>101</v>
      </c>
      <c r="BH35" s="4">
        <v>1</v>
      </c>
      <c r="BI35" s="4">
        <v>0</v>
      </c>
      <c r="BJ35" s="4">
        <v>0</v>
      </c>
      <c r="BK35" s="4" t="s">
        <v>101</v>
      </c>
      <c r="BL35" s="4" t="s">
        <v>101</v>
      </c>
      <c r="BM35" s="4" t="s">
        <v>101</v>
      </c>
      <c r="BN35" s="4" t="s">
        <v>101</v>
      </c>
      <c r="BO35" s="4" t="s">
        <v>101</v>
      </c>
      <c r="BP35" s="4" t="s">
        <v>101</v>
      </c>
      <c r="BQ35" s="4" t="s">
        <v>101</v>
      </c>
      <c r="BR35" s="4">
        <v>0</v>
      </c>
      <c r="BS35" s="4">
        <v>0</v>
      </c>
      <c r="BT35" s="4" t="s">
        <v>101</v>
      </c>
      <c r="BU35" s="4" t="s">
        <v>101</v>
      </c>
      <c r="BV35" s="4">
        <v>0</v>
      </c>
      <c r="BW35" s="4" t="s">
        <v>101</v>
      </c>
      <c r="BX35" s="4" t="s">
        <v>101</v>
      </c>
      <c r="BY35" s="4" t="s">
        <v>101</v>
      </c>
      <c r="BZ35" s="4" t="s">
        <v>101</v>
      </c>
      <c r="CA35" s="4" t="s">
        <v>101</v>
      </c>
      <c r="CB35" s="19" t="s">
        <v>109</v>
      </c>
      <c r="CC35" s="19" t="s">
        <v>109</v>
      </c>
      <c r="CD35" s="19" t="s">
        <v>109</v>
      </c>
      <c r="CE35" s="19" t="s">
        <v>109</v>
      </c>
      <c r="CF35" s="19" t="s">
        <v>109</v>
      </c>
      <c r="CG35" s="19" t="s">
        <v>109</v>
      </c>
      <c r="CH35" s="46" t="s">
        <v>110</v>
      </c>
      <c r="CI35" s="46" t="s">
        <v>109</v>
      </c>
      <c r="CJ35" s="46" t="s">
        <v>109</v>
      </c>
      <c r="CK35" s="46" t="s">
        <v>110</v>
      </c>
      <c r="CL35" s="46" t="s">
        <v>109</v>
      </c>
      <c r="CM35" s="46" t="s">
        <v>109</v>
      </c>
      <c r="CN35" s="46" t="s">
        <v>110</v>
      </c>
      <c r="CO35" s="46" t="s">
        <v>109</v>
      </c>
      <c r="CP35" s="46" t="s">
        <v>109</v>
      </c>
    </row>
    <row r="36" spans="1:94">
      <c r="A36" s="4" t="s">
        <v>232</v>
      </c>
      <c r="B36" s="4">
        <v>5</v>
      </c>
      <c r="C36" s="29">
        <v>40876</v>
      </c>
      <c r="D36" s="29" t="s">
        <v>189</v>
      </c>
      <c r="E36" s="4">
        <v>1992</v>
      </c>
      <c r="F36" s="4" t="s">
        <v>183</v>
      </c>
      <c r="G36" s="4" t="s">
        <v>93</v>
      </c>
      <c r="H36" s="4" t="s">
        <v>94</v>
      </c>
      <c r="I36" s="4" t="s">
        <v>95</v>
      </c>
      <c r="J36" s="45" t="s">
        <v>132</v>
      </c>
      <c r="K36" s="45" t="s">
        <v>97</v>
      </c>
      <c r="L36" s="4" t="s">
        <v>133</v>
      </c>
      <c r="M36" s="4" t="s">
        <v>168</v>
      </c>
      <c r="N36" s="4" t="s">
        <v>239</v>
      </c>
      <c r="O36" s="4">
        <v>2</v>
      </c>
      <c r="P36" s="4">
        <v>0</v>
      </c>
      <c r="Q36" s="4" t="s">
        <v>101</v>
      </c>
      <c r="R36" s="4" t="s">
        <v>240</v>
      </c>
      <c r="S36" s="4" t="s">
        <v>105</v>
      </c>
      <c r="T36" s="4" t="s">
        <v>156</v>
      </c>
      <c r="U36" s="4" t="s">
        <v>105</v>
      </c>
      <c r="V36" s="4">
        <v>2</v>
      </c>
      <c r="W36" s="4">
        <v>1</v>
      </c>
      <c r="X36" s="4">
        <v>2</v>
      </c>
      <c r="Y36" s="4" t="s">
        <v>118</v>
      </c>
      <c r="Z36" s="4" t="s">
        <v>108</v>
      </c>
      <c r="AA36" s="4" t="s">
        <v>108</v>
      </c>
      <c r="AB36" s="4" t="s">
        <v>108</v>
      </c>
      <c r="AC36" s="4" t="s">
        <v>119</v>
      </c>
      <c r="AD36" s="4" t="s">
        <v>101</v>
      </c>
      <c r="AE36" s="4" t="s">
        <v>119</v>
      </c>
      <c r="AF36" s="4" t="s">
        <v>119</v>
      </c>
      <c r="AG36" s="4" t="s">
        <v>101</v>
      </c>
      <c r="AH36" s="4" t="s">
        <v>101</v>
      </c>
      <c r="AI36" s="4" t="s">
        <v>108</v>
      </c>
      <c r="AJ36" s="4" t="s">
        <v>108</v>
      </c>
      <c r="AK36" s="4" t="s">
        <v>108</v>
      </c>
      <c r="AL36" s="4" t="s">
        <v>119</v>
      </c>
      <c r="AM36" s="4" t="s">
        <v>101</v>
      </c>
      <c r="AN36" s="4" t="s">
        <v>119</v>
      </c>
      <c r="AO36" s="4" t="s">
        <v>119</v>
      </c>
      <c r="AP36" s="4" t="s">
        <v>101</v>
      </c>
      <c r="AQ36" s="4" t="s">
        <v>101</v>
      </c>
      <c r="AR36" s="4">
        <v>1</v>
      </c>
      <c r="AS36" s="4">
        <v>1</v>
      </c>
      <c r="AT36" s="4">
        <v>0</v>
      </c>
      <c r="AU36" s="4" t="s">
        <v>101</v>
      </c>
      <c r="AV36" s="4">
        <v>0</v>
      </c>
      <c r="AW36" s="4">
        <v>0</v>
      </c>
      <c r="AX36" s="4" t="s">
        <v>101</v>
      </c>
      <c r="AY36" s="4" t="s">
        <v>101</v>
      </c>
      <c r="AZ36" s="4">
        <v>1</v>
      </c>
      <c r="BA36" s="4">
        <v>0</v>
      </c>
      <c r="BB36" s="4" t="s">
        <v>101</v>
      </c>
      <c r="BC36" s="4">
        <v>0</v>
      </c>
      <c r="BD36" s="4">
        <v>0</v>
      </c>
      <c r="BE36" s="4" t="s">
        <v>101</v>
      </c>
      <c r="BF36" s="4" t="s">
        <v>101</v>
      </c>
      <c r="BG36" s="4">
        <v>0</v>
      </c>
      <c r="BH36" s="4" t="s">
        <v>101</v>
      </c>
      <c r="BI36" s="4">
        <v>0</v>
      </c>
      <c r="BJ36" s="4">
        <v>0</v>
      </c>
      <c r="BK36" s="4" t="s">
        <v>101</v>
      </c>
      <c r="BL36" s="4" t="s">
        <v>101</v>
      </c>
      <c r="BM36" s="4" t="s">
        <v>101</v>
      </c>
      <c r="BN36" s="4">
        <v>0</v>
      </c>
      <c r="BO36" s="4">
        <v>0</v>
      </c>
      <c r="BP36" s="4" t="s">
        <v>101</v>
      </c>
      <c r="BQ36" s="4" t="s">
        <v>101</v>
      </c>
      <c r="BR36" s="4" t="s">
        <v>101</v>
      </c>
      <c r="BS36" s="4" t="s">
        <v>101</v>
      </c>
      <c r="BT36" s="4" t="s">
        <v>101</v>
      </c>
      <c r="BU36" s="4" t="s">
        <v>101</v>
      </c>
      <c r="BV36" s="4">
        <v>0</v>
      </c>
      <c r="BW36" s="4" t="s">
        <v>101</v>
      </c>
      <c r="BX36" s="4" t="s">
        <v>101</v>
      </c>
      <c r="BY36" s="4" t="s">
        <v>101</v>
      </c>
      <c r="BZ36" s="4" t="s">
        <v>101</v>
      </c>
      <c r="CA36" s="4" t="s">
        <v>101</v>
      </c>
      <c r="CB36" s="19" t="s">
        <v>111</v>
      </c>
      <c r="CC36" s="19" t="s">
        <v>111</v>
      </c>
      <c r="CD36" s="19" t="s">
        <v>111</v>
      </c>
      <c r="CE36" s="19" t="s">
        <v>111</v>
      </c>
      <c r="CF36" s="19" t="s">
        <v>111</v>
      </c>
      <c r="CG36" s="19" t="s">
        <v>111</v>
      </c>
      <c r="CH36" s="46" t="s">
        <v>110</v>
      </c>
      <c r="CI36" s="46" t="s">
        <v>109</v>
      </c>
      <c r="CJ36" s="46" t="s">
        <v>109</v>
      </c>
      <c r="CK36" s="46" t="s">
        <v>110</v>
      </c>
      <c r="CL36" s="46" t="s">
        <v>111</v>
      </c>
      <c r="CM36" s="46" t="s">
        <v>111</v>
      </c>
      <c r="CN36" s="46" t="s">
        <v>130</v>
      </c>
      <c r="CO36" s="46" t="s">
        <v>109</v>
      </c>
      <c r="CP36" s="46" t="s">
        <v>111</v>
      </c>
    </row>
    <row r="37" spans="1:94">
      <c r="A37" s="4" t="s">
        <v>232</v>
      </c>
      <c r="B37" s="4">
        <v>6</v>
      </c>
      <c r="C37" s="29">
        <v>40883</v>
      </c>
      <c r="D37" s="29" t="s">
        <v>189</v>
      </c>
      <c r="E37" s="4">
        <v>1985</v>
      </c>
      <c r="F37" s="4" t="s">
        <v>112</v>
      </c>
      <c r="G37" s="4" t="s">
        <v>241</v>
      </c>
      <c r="H37" s="4" t="s">
        <v>121</v>
      </c>
      <c r="I37" s="4" t="s">
        <v>113</v>
      </c>
      <c r="J37" s="45" t="s">
        <v>132</v>
      </c>
      <c r="K37" s="45" t="s">
        <v>97</v>
      </c>
      <c r="L37" s="4" t="s">
        <v>99</v>
      </c>
      <c r="M37" s="4" t="s">
        <v>99</v>
      </c>
      <c r="N37" s="4" t="s">
        <v>242</v>
      </c>
      <c r="O37" s="4">
        <v>6</v>
      </c>
      <c r="P37" s="4">
        <v>0</v>
      </c>
      <c r="Q37" s="4" t="s">
        <v>101</v>
      </c>
      <c r="R37" s="4" t="s">
        <v>243</v>
      </c>
      <c r="S37" s="4" t="s">
        <v>233</v>
      </c>
      <c r="T37" s="4" t="s">
        <v>244</v>
      </c>
      <c r="U37" s="4" t="s">
        <v>105</v>
      </c>
      <c r="V37" s="4">
        <v>6</v>
      </c>
      <c r="W37" s="4">
        <v>1</v>
      </c>
      <c r="X37" s="4">
        <v>0</v>
      </c>
      <c r="Y37" s="4" t="s">
        <v>118</v>
      </c>
      <c r="Z37" s="4" t="s">
        <v>119</v>
      </c>
      <c r="AA37" s="4" t="s">
        <v>108</v>
      </c>
      <c r="AB37" s="4" t="s">
        <v>108</v>
      </c>
      <c r="AC37" s="4" t="s">
        <v>119</v>
      </c>
      <c r="AD37" s="4" t="s">
        <v>119</v>
      </c>
      <c r="AE37" s="4" t="s">
        <v>101</v>
      </c>
      <c r="AF37" s="4" t="s">
        <v>217</v>
      </c>
      <c r="AG37" s="4" t="s">
        <v>101</v>
      </c>
      <c r="AH37" s="4" t="s">
        <v>101</v>
      </c>
      <c r="AI37" s="4" t="s">
        <v>119</v>
      </c>
      <c r="AJ37" s="4" t="s">
        <v>119</v>
      </c>
      <c r="AK37" s="4" t="s">
        <v>108</v>
      </c>
      <c r="AL37" s="4" t="s">
        <v>119</v>
      </c>
      <c r="AM37" s="4" t="s">
        <v>119</v>
      </c>
      <c r="AN37" s="4" t="s">
        <v>107</v>
      </c>
      <c r="AO37" s="4" t="s">
        <v>217</v>
      </c>
      <c r="AP37" s="4" t="s">
        <v>101</v>
      </c>
      <c r="AQ37" s="4" t="s">
        <v>101</v>
      </c>
      <c r="AR37" s="4">
        <v>1</v>
      </c>
      <c r="AS37" s="4">
        <v>0</v>
      </c>
      <c r="AT37" s="4">
        <v>0</v>
      </c>
      <c r="AU37" s="4">
        <v>0</v>
      </c>
      <c r="AV37" s="4" t="s">
        <v>101</v>
      </c>
      <c r="AW37" s="4">
        <v>0</v>
      </c>
      <c r="AX37" s="4" t="s">
        <v>101</v>
      </c>
      <c r="AY37" s="4" t="s">
        <v>101</v>
      </c>
      <c r="AZ37" s="4">
        <v>0</v>
      </c>
      <c r="BA37" s="4">
        <v>0</v>
      </c>
      <c r="BB37" s="4">
        <v>0</v>
      </c>
      <c r="BC37" s="4" t="s">
        <v>101</v>
      </c>
      <c r="BD37" s="4">
        <v>0</v>
      </c>
      <c r="BE37" s="4" t="s">
        <v>101</v>
      </c>
      <c r="BF37" s="4" t="s">
        <v>101</v>
      </c>
      <c r="BG37" s="4">
        <v>0</v>
      </c>
      <c r="BH37" s="4">
        <v>0</v>
      </c>
      <c r="BI37" s="4" t="s">
        <v>101</v>
      </c>
      <c r="BJ37" s="4">
        <v>0</v>
      </c>
      <c r="BK37" s="4" t="s">
        <v>101</v>
      </c>
      <c r="BL37" s="4" t="s">
        <v>101</v>
      </c>
      <c r="BM37" s="4">
        <v>0</v>
      </c>
      <c r="BN37" s="4" t="s">
        <v>101</v>
      </c>
      <c r="BO37" s="4">
        <v>0</v>
      </c>
      <c r="BP37" s="4" t="s">
        <v>101</v>
      </c>
      <c r="BQ37" s="4" t="s">
        <v>101</v>
      </c>
      <c r="BR37" s="4" t="s">
        <v>101</v>
      </c>
      <c r="BS37" s="4">
        <v>0</v>
      </c>
      <c r="BT37" s="4" t="s">
        <v>101</v>
      </c>
      <c r="BU37" s="4" t="s">
        <v>101</v>
      </c>
      <c r="BV37" s="4" t="s">
        <v>101</v>
      </c>
      <c r="BW37" s="4" t="s">
        <v>101</v>
      </c>
      <c r="BX37" s="4" t="s">
        <v>101</v>
      </c>
      <c r="BY37" s="4" t="s">
        <v>101</v>
      </c>
      <c r="BZ37" s="4" t="s">
        <v>101</v>
      </c>
      <c r="CA37" s="4" t="s">
        <v>101</v>
      </c>
      <c r="CB37" s="19" t="s">
        <v>111</v>
      </c>
      <c r="CC37" s="19" t="s">
        <v>111</v>
      </c>
      <c r="CD37" s="19" t="s">
        <v>111</v>
      </c>
      <c r="CE37" s="19" t="s">
        <v>111</v>
      </c>
      <c r="CF37" s="19" t="s">
        <v>111</v>
      </c>
      <c r="CG37" s="19" t="s">
        <v>111</v>
      </c>
      <c r="CH37" s="46" t="s">
        <v>110</v>
      </c>
      <c r="CI37" s="46" t="s">
        <v>111</v>
      </c>
      <c r="CJ37" s="46" t="s">
        <v>111</v>
      </c>
      <c r="CK37" s="46" t="s">
        <v>110</v>
      </c>
      <c r="CL37" s="46" t="s">
        <v>111</v>
      </c>
      <c r="CM37" s="46" t="s">
        <v>109</v>
      </c>
      <c r="CN37" s="46" t="s">
        <v>110</v>
      </c>
      <c r="CO37" s="46" t="s">
        <v>111</v>
      </c>
      <c r="CP37" s="46" t="s">
        <v>111</v>
      </c>
    </row>
    <row r="38" spans="1:94">
      <c r="A38" s="4" t="s">
        <v>232</v>
      </c>
      <c r="B38" s="4">
        <v>7</v>
      </c>
      <c r="C38" s="29">
        <v>40876</v>
      </c>
      <c r="D38" s="29" t="s">
        <v>189</v>
      </c>
      <c r="E38" s="4">
        <v>1988</v>
      </c>
      <c r="F38" s="4" t="s">
        <v>112</v>
      </c>
      <c r="G38" s="4" t="s">
        <v>245</v>
      </c>
      <c r="H38" s="4" t="s">
        <v>121</v>
      </c>
      <c r="I38" s="4" t="s">
        <v>166</v>
      </c>
      <c r="J38" s="45" t="s">
        <v>132</v>
      </c>
      <c r="K38" s="4" t="s">
        <v>166</v>
      </c>
      <c r="L38" s="45" t="s">
        <v>167</v>
      </c>
      <c r="M38" s="4" t="s">
        <v>124</v>
      </c>
      <c r="N38" s="4" t="s">
        <v>246</v>
      </c>
      <c r="O38" s="4">
        <v>4</v>
      </c>
      <c r="P38" s="4">
        <v>0</v>
      </c>
      <c r="Q38" s="4" t="s">
        <v>150</v>
      </c>
      <c r="R38" s="4" t="s">
        <v>101</v>
      </c>
      <c r="S38" s="4" t="s">
        <v>247</v>
      </c>
      <c r="T38" s="4" t="s">
        <v>248</v>
      </c>
      <c r="U38" s="4" t="s">
        <v>105</v>
      </c>
      <c r="V38" s="4">
        <v>0</v>
      </c>
      <c r="W38" s="4">
        <v>0</v>
      </c>
      <c r="X38" s="4">
        <v>0</v>
      </c>
      <c r="Y38" s="4" t="s">
        <v>119</v>
      </c>
      <c r="Z38" s="4" t="s">
        <v>119</v>
      </c>
      <c r="AA38" s="4" t="s">
        <v>108</v>
      </c>
      <c r="AB38" s="4" t="s">
        <v>108</v>
      </c>
      <c r="AC38" s="4" t="s">
        <v>108</v>
      </c>
      <c r="AD38" s="4" t="s">
        <v>108</v>
      </c>
      <c r="AE38" s="4" t="s">
        <v>108</v>
      </c>
      <c r="AF38" s="4"/>
      <c r="AG38" s="4" t="s">
        <v>101</v>
      </c>
      <c r="AH38" s="4" t="s">
        <v>101</v>
      </c>
      <c r="AI38" s="4" t="s">
        <v>119</v>
      </c>
      <c r="AJ38" s="4" t="s">
        <v>119</v>
      </c>
      <c r="AK38" s="4" t="s">
        <v>119</v>
      </c>
      <c r="AL38" s="4" t="s">
        <v>108</v>
      </c>
      <c r="AM38" s="4" t="s">
        <v>119</v>
      </c>
      <c r="AN38" s="4" t="s">
        <v>108</v>
      </c>
      <c r="AO38" s="4" t="s">
        <v>101</v>
      </c>
      <c r="AP38" s="4" t="s">
        <v>101</v>
      </c>
      <c r="AQ38" s="4" t="s">
        <v>101</v>
      </c>
      <c r="AR38" s="4">
        <v>1</v>
      </c>
      <c r="AS38" s="4">
        <v>1</v>
      </c>
      <c r="AT38" s="4">
        <v>0</v>
      </c>
      <c r="AU38" s="4">
        <v>1</v>
      </c>
      <c r="AV38" s="4">
        <v>0</v>
      </c>
      <c r="AW38" s="4" t="s">
        <v>101</v>
      </c>
      <c r="AX38" s="4" t="s">
        <v>101</v>
      </c>
      <c r="AY38" s="4" t="s">
        <v>101</v>
      </c>
      <c r="AZ38" s="4">
        <v>1</v>
      </c>
      <c r="BA38" s="4">
        <v>0</v>
      </c>
      <c r="BB38" s="4">
        <v>0</v>
      </c>
      <c r="BC38" s="4">
        <v>0</v>
      </c>
      <c r="BD38" s="4" t="s">
        <v>101</v>
      </c>
      <c r="BE38" s="4" t="s">
        <v>101</v>
      </c>
      <c r="BF38" s="4" t="s">
        <v>101</v>
      </c>
      <c r="BG38" s="4">
        <v>0</v>
      </c>
      <c r="BH38" s="4">
        <v>0</v>
      </c>
      <c r="BI38" s="4">
        <v>0</v>
      </c>
      <c r="BJ38" s="4" t="s">
        <v>101</v>
      </c>
      <c r="BK38" s="4" t="s">
        <v>101</v>
      </c>
      <c r="BL38" s="4" t="s">
        <v>101</v>
      </c>
      <c r="BM38" s="4">
        <v>0</v>
      </c>
      <c r="BN38" s="4">
        <v>0</v>
      </c>
      <c r="BO38" s="4" t="s">
        <v>101</v>
      </c>
      <c r="BP38" s="4" t="s">
        <v>101</v>
      </c>
      <c r="BQ38" s="4" t="s">
        <v>101</v>
      </c>
      <c r="BR38" s="4">
        <v>0</v>
      </c>
      <c r="BS38" s="4" t="s">
        <v>101</v>
      </c>
      <c r="BT38" s="4" t="s">
        <v>101</v>
      </c>
      <c r="BU38" s="4" t="s">
        <v>101</v>
      </c>
      <c r="BV38" s="4" t="s">
        <v>101</v>
      </c>
      <c r="BW38" s="4" t="s">
        <v>101</v>
      </c>
      <c r="BX38" s="4" t="s">
        <v>101</v>
      </c>
      <c r="BY38" s="4" t="s">
        <v>101</v>
      </c>
      <c r="BZ38" s="4" t="s">
        <v>101</v>
      </c>
      <c r="CA38" s="4" t="s">
        <v>101</v>
      </c>
      <c r="CB38" s="19" t="s">
        <v>109</v>
      </c>
      <c r="CC38" s="19" t="s">
        <v>109</v>
      </c>
      <c r="CD38" s="19" t="s">
        <v>109</v>
      </c>
      <c r="CE38" s="19" t="s">
        <v>109</v>
      </c>
      <c r="CF38" s="19" t="s">
        <v>111</v>
      </c>
      <c r="CG38" s="19" t="s">
        <v>109</v>
      </c>
      <c r="CH38" s="46" t="s">
        <v>110</v>
      </c>
      <c r="CI38" s="46" t="s">
        <v>109</v>
      </c>
      <c r="CJ38" s="46" t="s">
        <v>109</v>
      </c>
      <c r="CK38" s="46" t="s">
        <v>110</v>
      </c>
      <c r="CL38" s="46" t="s">
        <v>111</v>
      </c>
      <c r="CM38" s="46" t="s">
        <v>109</v>
      </c>
      <c r="CN38" s="46" t="s">
        <v>110</v>
      </c>
      <c r="CO38" s="46" t="s">
        <v>111</v>
      </c>
      <c r="CP38" s="46" t="s">
        <v>109</v>
      </c>
    </row>
    <row r="39" spans="1:94">
      <c r="A39" s="4" t="s">
        <v>249</v>
      </c>
      <c r="B39" s="4">
        <v>1</v>
      </c>
      <c r="C39" s="29">
        <v>40876</v>
      </c>
      <c r="D39" s="29" t="s">
        <v>91</v>
      </c>
      <c r="E39" s="4">
        <v>1989</v>
      </c>
      <c r="F39" s="4" t="s">
        <v>138</v>
      </c>
      <c r="G39" s="4" t="s">
        <v>93</v>
      </c>
      <c r="H39" s="4" t="s">
        <v>94</v>
      </c>
      <c r="I39" s="4" t="s">
        <v>166</v>
      </c>
      <c r="J39" s="45" t="s">
        <v>132</v>
      </c>
      <c r="K39" s="45" t="s">
        <v>97</v>
      </c>
      <c r="L39" s="4" t="s">
        <v>98</v>
      </c>
      <c r="M39" s="4" t="s">
        <v>99</v>
      </c>
      <c r="N39" s="4" t="s">
        <v>250</v>
      </c>
      <c r="O39" s="4">
        <v>13</v>
      </c>
      <c r="P39" s="4">
        <v>4</v>
      </c>
      <c r="Q39" s="4" t="s">
        <v>101</v>
      </c>
      <c r="R39" s="4" t="s">
        <v>251</v>
      </c>
      <c r="S39" s="4" t="s">
        <v>192</v>
      </c>
      <c r="T39" s="4" t="s">
        <v>101</v>
      </c>
      <c r="U39" s="4" t="s">
        <v>194</v>
      </c>
      <c r="V39" s="4">
        <v>5</v>
      </c>
      <c r="W39" s="4">
        <v>5</v>
      </c>
      <c r="X39" s="4">
        <v>5</v>
      </c>
      <c r="Y39" s="4" t="s">
        <v>106</v>
      </c>
      <c r="Z39" s="4" t="s">
        <v>101</v>
      </c>
      <c r="AA39" s="4" t="s">
        <v>107</v>
      </c>
      <c r="AB39" s="4" t="s">
        <v>101</v>
      </c>
      <c r="AC39" s="4" t="s">
        <v>107</v>
      </c>
      <c r="AD39" s="4" t="s">
        <v>108</v>
      </c>
      <c r="AE39" s="4" t="s">
        <v>107</v>
      </c>
      <c r="AF39" s="4" t="s">
        <v>108</v>
      </c>
      <c r="AG39" s="4" t="s">
        <v>108</v>
      </c>
      <c r="AH39" s="4" t="s">
        <v>107</v>
      </c>
      <c r="AI39" s="4" t="s">
        <v>101</v>
      </c>
      <c r="AJ39" s="4" t="s">
        <v>107</v>
      </c>
      <c r="AK39" s="4" t="s">
        <v>101</v>
      </c>
      <c r="AL39" s="4" t="s">
        <v>107</v>
      </c>
      <c r="AM39" s="4" t="s">
        <v>108</v>
      </c>
      <c r="AN39" s="4" t="s">
        <v>107</v>
      </c>
      <c r="AO39" s="4" t="s">
        <v>108</v>
      </c>
      <c r="AP39" s="4" t="s">
        <v>108</v>
      </c>
      <c r="AQ39" s="4" t="s">
        <v>107</v>
      </c>
      <c r="AR39" s="4" t="s">
        <v>101</v>
      </c>
      <c r="AS39" s="4" t="s">
        <v>101</v>
      </c>
      <c r="AT39" s="4" t="s">
        <v>101</v>
      </c>
      <c r="AU39" s="4" t="s">
        <v>101</v>
      </c>
      <c r="AV39" s="4" t="s">
        <v>101</v>
      </c>
      <c r="AW39" s="4" t="s">
        <v>101</v>
      </c>
      <c r="AX39" s="4" t="s">
        <v>101</v>
      </c>
      <c r="AY39" s="4" t="s">
        <v>101</v>
      </c>
      <c r="AZ39" s="4" t="s">
        <v>101</v>
      </c>
      <c r="BA39" s="4">
        <v>1</v>
      </c>
      <c r="BB39" s="4">
        <v>0</v>
      </c>
      <c r="BC39" s="4">
        <v>1</v>
      </c>
      <c r="BD39" s="4">
        <v>0</v>
      </c>
      <c r="BE39" s="4">
        <v>0</v>
      </c>
      <c r="BF39" s="4">
        <v>1</v>
      </c>
      <c r="BG39" s="4" t="s">
        <v>101</v>
      </c>
      <c r="BH39" s="4" t="s">
        <v>101</v>
      </c>
      <c r="BI39" s="4" t="s">
        <v>101</v>
      </c>
      <c r="BJ39" s="4" t="s">
        <v>101</v>
      </c>
      <c r="BK39" s="4" t="s">
        <v>101</v>
      </c>
      <c r="BL39" s="4" t="s">
        <v>101</v>
      </c>
      <c r="BM39" s="4">
        <v>1</v>
      </c>
      <c r="BN39" s="4">
        <v>1</v>
      </c>
      <c r="BO39" s="4">
        <v>0</v>
      </c>
      <c r="BP39" s="4">
        <v>0</v>
      </c>
      <c r="BQ39" s="4">
        <v>1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1</v>
      </c>
      <c r="BY39" s="4">
        <v>0</v>
      </c>
      <c r="BZ39" s="4">
        <v>0</v>
      </c>
      <c r="CA39" s="4">
        <v>0</v>
      </c>
      <c r="CB39" s="19" t="s">
        <v>109</v>
      </c>
      <c r="CC39" s="19" t="s">
        <v>109</v>
      </c>
      <c r="CD39" s="19" t="s">
        <v>109</v>
      </c>
      <c r="CE39" s="19" t="s">
        <v>109</v>
      </c>
      <c r="CF39" s="19" t="s">
        <v>109</v>
      </c>
      <c r="CG39" s="19" t="s">
        <v>109</v>
      </c>
      <c r="CH39" s="46" t="s">
        <v>110</v>
      </c>
      <c r="CI39" s="46" t="s">
        <v>109</v>
      </c>
      <c r="CJ39" s="46" t="s">
        <v>109</v>
      </c>
      <c r="CK39" s="46" t="s">
        <v>110</v>
      </c>
      <c r="CL39" s="46" t="s">
        <v>109</v>
      </c>
      <c r="CM39" s="46" t="s">
        <v>109</v>
      </c>
      <c r="CN39" s="46" t="s">
        <v>110</v>
      </c>
      <c r="CO39" s="46" t="s">
        <v>109</v>
      </c>
      <c r="CP39" s="46" t="s">
        <v>109</v>
      </c>
    </row>
    <row r="40" spans="1:94">
      <c r="A40" s="4" t="s">
        <v>249</v>
      </c>
      <c r="B40" s="4">
        <v>2</v>
      </c>
      <c r="C40" s="29">
        <v>40876</v>
      </c>
      <c r="D40" s="29" t="s">
        <v>91</v>
      </c>
      <c r="E40" s="4">
        <v>1989</v>
      </c>
      <c r="F40" s="4" t="s">
        <v>138</v>
      </c>
      <c r="G40" s="4" t="s">
        <v>93</v>
      </c>
      <c r="H40" s="4" t="s">
        <v>121</v>
      </c>
      <c r="I40" s="4" t="s">
        <v>166</v>
      </c>
      <c r="J40" s="4" t="s">
        <v>158</v>
      </c>
      <c r="K40" s="4" t="s">
        <v>166</v>
      </c>
      <c r="L40" s="4" t="s">
        <v>98</v>
      </c>
      <c r="M40" s="4" t="s">
        <v>99</v>
      </c>
      <c r="N40" s="4" t="s">
        <v>252</v>
      </c>
      <c r="O40" s="4">
        <v>12</v>
      </c>
      <c r="P40" s="4" t="s">
        <v>101</v>
      </c>
      <c r="Q40" s="4" t="s">
        <v>101</v>
      </c>
      <c r="R40" s="4" t="s">
        <v>235</v>
      </c>
      <c r="S40" s="4" t="s">
        <v>101</v>
      </c>
      <c r="T40" s="4" t="s">
        <v>101</v>
      </c>
      <c r="U40" s="4" t="s">
        <v>101</v>
      </c>
      <c r="V40" s="4">
        <v>5</v>
      </c>
      <c r="W40" s="4">
        <v>5</v>
      </c>
      <c r="X40" s="4">
        <v>2</v>
      </c>
      <c r="Y40" s="4" t="s">
        <v>106</v>
      </c>
      <c r="Z40" s="4" t="s">
        <v>107</v>
      </c>
      <c r="AA40" s="4" t="s">
        <v>101</v>
      </c>
      <c r="AB40" s="4" t="s">
        <v>101</v>
      </c>
      <c r="AC40" s="4" t="s">
        <v>107</v>
      </c>
      <c r="AD40" s="4" t="s">
        <v>108</v>
      </c>
      <c r="AE40" s="4" t="s">
        <v>107</v>
      </c>
      <c r="AF40" s="4" t="s">
        <v>108</v>
      </c>
      <c r="AG40" s="4" t="s">
        <v>108</v>
      </c>
      <c r="AH40" s="4" t="s">
        <v>107</v>
      </c>
      <c r="AI40" s="4" t="s">
        <v>107</v>
      </c>
      <c r="AJ40" s="4" t="s">
        <v>101</v>
      </c>
      <c r="AK40" s="4" t="s">
        <v>101</v>
      </c>
      <c r="AL40" s="4" t="s">
        <v>107</v>
      </c>
      <c r="AM40" s="4" t="s">
        <v>108</v>
      </c>
      <c r="AN40" s="4" t="s">
        <v>107</v>
      </c>
      <c r="AO40" s="4" t="s">
        <v>108</v>
      </c>
      <c r="AP40" s="4" t="s">
        <v>108</v>
      </c>
      <c r="AQ40" s="4" t="s">
        <v>107</v>
      </c>
      <c r="AR40" s="4" t="s">
        <v>101</v>
      </c>
      <c r="AS40" s="4" t="s">
        <v>101</v>
      </c>
      <c r="AT40" s="4">
        <v>1</v>
      </c>
      <c r="AU40" s="4">
        <v>0</v>
      </c>
      <c r="AV40" s="4">
        <v>1</v>
      </c>
      <c r="AW40" s="4">
        <v>0</v>
      </c>
      <c r="AX40" s="4">
        <v>0</v>
      </c>
      <c r="AY40" s="4">
        <v>1</v>
      </c>
      <c r="AZ40" s="4" t="s">
        <v>101</v>
      </c>
      <c r="BA40" s="4" t="s">
        <v>101</v>
      </c>
      <c r="BB40" s="4" t="s">
        <v>101</v>
      </c>
      <c r="BC40" s="4" t="s">
        <v>101</v>
      </c>
      <c r="BD40" s="4" t="s">
        <v>101</v>
      </c>
      <c r="BE40" s="4" t="s">
        <v>101</v>
      </c>
      <c r="BF40" s="4" t="s">
        <v>101</v>
      </c>
      <c r="BG40" s="4" t="s">
        <v>101</v>
      </c>
      <c r="BH40" s="4" t="s">
        <v>101</v>
      </c>
      <c r="BI40" s="4" t="s">
        <v>101</v>
      </c>
      <c r="BJ40" s="4" t="s">
        <v>101</v>
      </c>
      <c r="BK40" s="4" t="s">
        <v>101</v>
      </c>
      <c r="BL40" s="4" t="s">
        <v>101</v>
      </c>
      <c r="BM40" s="4">
        <v>0</v>
      </c>
      <c r="BN40" s="4">
        <v>1</v>
      </c>
      <c r="BO40" s="4">
        <v>0</v>
      </c>
      <c r="BP40" s="4">
        <v>0</v>
      </c>
      <c r="BQ40" s="4">
        <v>1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1</v>
      </c>
      <c r="BY40" s="4">
        <v>0</v>
      </c>
      <c r="BZ40" s="4">
        <v>0</v>
      </c>
      <c r="CA40" s="4">
        <v>0</v>
      </c>
      <c r="CB40" s="19" t="s">
        <v>109</v>
      </c>
      <c r="CC40" s="19" t="s">
        <v>109</v>
      </c>
      <c r="CD40" s="19" t="s">
        <v>109</v>
      </c>
      <c r="CE40" s="19" t="s">
        <v>109</v>
      </c>
      <c r="CF40" s="19" t="s">
        <v>109</v>
      </c>
      <c r="CG40" s="19" t="s">
        <v>109</v>
      </c>
      <c r="CH40" s="46" t="s">
        <v>110</v>
      </c>
      <c r="CI40" s="46" t="s">
        <v>109</v>
      </c>
      <c r="CJ40" s="46" t="s">
        <v>109</v>
      </c>
      <c r="CK40" s="46" t="s">
        <v>110</v>
      </c>
      <c r="CL40" s="46" t="s">
        <v>109</v>
      </c>
      <c r="CM40" s="46" t="s">
        <v>109</v>
      </c>
      <c r="CN40" s="46" t="s">
        <v>130</v>
      </c>
      <c r="CO40" s="46" t="s">
        <v>109</v>
      </c>
      <c r="CP40" s="46" t="s">
        <v>109</v>
      </c>
    </row>
    <row r="41" spans="1:94">
      <c r="A41" s="4" t="s">
        <v>249</v>
      </c>
      <c r="B41" s="4">
        <v>4</v>
      </c>
      <c r="C41" s="29">
        <v>40876</v>
      </c>
      <c r="D41" s="29" t="s">
        <v>91</v>
      </c>
      <c r="E41" s="4">
        <v>1988</v>
      </c>
      <c r="F41" s="4" t="s">
        <v>138</v>
      </c>
      <c r="G41" s="4" t="s">
        <v>93</v>
      </c>
      <c r="H41" s="4" t="s">
        <v>94</v>
      </c>
      <c r="I41" s="4" t="s">
        <v>95</v>
      </c>
      <c r="J41" s="45" t="s">
        <v>132</v>
      </c>
      <c r="K41" s="45" t="s">
        <v>122</v>
      </c>
      <c r="L41" s="4" t="s">
        <v>98</v>
      </c>
      <c r="M41" s="4" t="s">
        <v>99</v>
      </c>
      <c r="N41" s="4" t="s">
        <v>144</v>
      </c>
      <c r="O41" s="4">
        <v>10</v>
      </c>
      <c r="P41" s="4">
        <v>4</v>
      </c>
      <c r="Q41" s="4" t="s">
        <v>101</v>
      </c>
      <c r="R41" s="4" t="s">
        <v>253</v>
      </c>
      <c r="S41" s="4" t="s">
        <v>254</v>
      </c>
      <c r="T41" s="4" t="s">
        <v>101</v>
      </c>
      <c r="U41" s="4" t="s">
        <v>105</v>
      </c>
      <c r="V41" s="4">
        <v>5</v>
      </c>
      <c r="W41" s="4">
        <v>5</v>
      </c>
      <c r="X41" s="4">
        <v>3</v>
      </c>
      <c r="Y41" s="4" t="s">
        <v>118</v>
      </c>
      <c r="Z41" s="4" t="s">
        <v>107</v>
      </c>
      <c r="AA41" s="4" t="s">
        <v>107</v>
      </c>
      <c r="AB41" s="4" t="s">
        <v>101</v>
      </c>
      <c r="AC41" s="4" t="s">
        <v>101</v>
      </c>
      <c r="AD41" s="4" t="s">
        <v>107</v>
      </c>
      <c r="AE41" s="4" t="s">
        <v>108</v>
      </c>
      <c r="AF41" s="4" t="s">
        <v>119</v>
      </c>
      <c r="AG41" s="4" t="s">
        <v>108</v>
      </c>
      <c r="AH41" s="4" t="s">
        <v>108</v>
      </c>
      <c r="AI41" s="4" t="s">
        <v>107</v>
      </c>
      <c r="AJ41" s="4" t="s">
        <v>107</v>
      </c>
      <c r="AK41" s="4" t="s">
        <v>101</v>
      </c>
      <c r="AL41" s="4" t="s">
        <v>101</v>
      </c>
      <c r="AM41" s="4" t="s">
        <v>107</v>
      </c>
      <c r="AN41" s="4" t="s">
        <v>108</v>
      </c>
      <c r="AO41" s="4" t="s">
        <v>108</v>
      </c>
      <c r="AP41" s="4" t="s">
        <v>108</v>
      </c>
      <c r="AQ41" s="4" t="s">
        <v>108</v>
      </c>
      <c r="AR41" s="4">
        <v>1</v>
      </c>
      <c r="AS41" s="4" t="s">
        <v>101</v>
      </c>
      <c r="AT41" s="4" t="s">
        <v>101</v>
      </c>
      <c r="AU41" s="4">
        <v>0</v>
      </c>
      <c r="AV41" s="4">
        <v>1</v>
      </c>
      <c r="AW41" s="4">
        <v>1</v>
      </c>
      <c r="AX41" s="4">
        <v>1</v>
      </c>
      <c r="AY41" s="4">
        <v>1</v>
      </c>
      <c r="AZ41" s="4" t="s">
        <v>101</v>
      </c>
      <c r="BA41" s="4" t="s">
        <v>101</v>
      </c>
      <c r="BB41" s="4">
        <v>1</v>
      </c>
      <c r="BC41" s="4">
        <v>1</v>
      </c>
      <c r="BD41" s="4">
        <v>1</v>
      </c>
      <c r="BE41" s="4">
        <v>1</v>
      </c>
      <c r="BF41" s="4">
        <v>1</v>
      </c>
      <c r="BG41" s="4" t="s">
        <v>101</v>
      </c>
      <c r="BH41" s="4" t="s">
        <v>101</v>
      </c>
      <c r="BI41" s="4" t="s">
        <v>101</v>
      </c>
      <c r="BJ41" s="4" t="s">
        <v>101</v>
      </c>
      <c r="BK41" s="4" t="s">
        <v>101</v>
      </c>
      <c r="BL41" s="4" t="s">
        <v>101</v>
      </c>
      <c r="BM41" s="4" t="s">
        <v>101</v>
      </c>
      <c r="BN41" s="4" t="s">
        <v>101</v>
      </c>
      <c r="BO41" s="4" t="s">
        <v>101</v>
      </c>
      <c r="BP41" s="4" t="s">
        <v>101</v>
      </c>
      <c r="BQ41" s="4" t="s">
        <v>101</v>
      </c>
      <c r="BR41" s="4">
        <v>0</v>
      </c>
      <c r="BS41" s="4">
        <v>0</v>
      </c>
      <c r="BT41" s="4">
        <v>1</v>
      </c>
      <c r="BU41" s="4">
        <v>0</v>
      </c>
      <c r="BV41" s="4">
        <v>0</v>
      </c>
      <c r="BW41" s="4">
        <v>0</v>
      </c>
      <c r="BX41" s="4">
        <v>1</v>
      </c>
      <c r="BY41" s="4">
        <v>0</v>
      </c>
      <c r="BZ41" s="4">
        <v>0</v>
      </c>
      <c r="CA41" s="4">
        <v>0</v>
      </c>
      <c r="CB41" s="19" t="s">
        <v>109</v>
      </c>
      <c r="CC41" s="19" t="s">
        <v>109</v>
      </c>
      <c r="CD41" s="19" t="s">
        <v>109</v>
      </c>
      <c r="CE41" s="19" t="s">
        <v>111</v>
      </c>
      <c r="CF41" s="19" t="s">
        <v>109</v>
      </c>
      <c r="CG41" s="19" t="s">
        <v>111</v>
      </c>
      <c r="CH41" s="46" t="s">
        <v>110</v>
      </c>
      <c r="CI41" s="46" t="s">
        <v>109</v>
      </c>
      <c r="CJ41" s="46" t="s">
        <v>109</v>
      </c>
      <c r="CK41" s="46" t="s">
        <v>110</v>
      </c>
      <c r="CL41" s="46" t="s">
        <v>109</v>
      </c>
      <c r="CM41" s="46" t="s">
        <v>111</v>
      </c>
      <c r="CN41" s="46" t="s">
        <v>130</v>
      </c>
      <c r="CO41" s="46" t="s">
        <v>111</v>
      </c>
      <c r="CP41" s="46" t="s">
        <v>109</v>
      </c>
    </row>
    <row r="42" spans="1:94">
      <c r="A42" s="4" t="s">
        <v>249</v>
      </c>
      <c r="B42" s="4">
        <v>5</v>
      </c>
      <c r="C42" s="29">
        <v>40883</v>
      </c>
      <c r="D42" s="29" t="s">
        <v>91</v>
      </c>
      <c r="E42" s="4">
        <v>1990</v>
      </c>
      <c r="F42" s="4" t="s">
        <v>138</v>
      </c>
      <c r="G42" s="4" t="s">
        <v>176</v>
      </c>
      <c r="H42" s="4" t="s">
        <v>121</v>
      </c>
      <c r="I42" s="4" t="s">
        <v>95</v>
      </c>
      <c r="J42" s="45" t="s">
        <v>132</v>
      </c>
      <c r="K42" s="45" t="s">
        <v>97</v>
      </c>
      <c r="L42" s="4" t="s">
        <v>99</v>
      </c>
      <c r="M42" s="4" t="s">
        <v>99</v>
      </c>
      <c r="N42" s="4" t="s">
        <v>255</v>
      </c>
      <c r="O42" s="4">
        <v>6</v>
      </c>
      <c r="P42" s="4">
        <v>6</v>
      </c>
      <c r="Q42" s="4" t="s">
        <v>256</v>
      </c>
      <c r="R42" s="4" t="s">
        <v>257</v>
      </c>
      <c r="S42" s="4" t="s">
        <v>233</v>
      </c>
      <c r="T42" s="4" t="s">
        <v>101</v>
      </c>
      <c r="U42" s="4" t="s">
        <v>105</v>
      </c>
      <c r="V42" s="4">
        <v>1</v>
      </c>
      <c r="W42" s="4">
        <v>1</v>
      </c>
      <c r="X42" s="4">
        <v>2</v>
      </c>
      <c r="Y42" s="4" t="s">
        <v>106</v>
      </c>
      <c r="Z42" s="4" t="s">
        <v>108</v>
      </c>
      <c r="AA42" s="4" t="s">
        <v>108</v>
      </c>
      <c r="AB42" s="4" t="s">
        <v>101</v>
      </c>
      <c r="AC42" s="4" t="s">
        <v>107</v>
      </c>
      <c r="AD42" s="4" t="s">
        <v>101</v>
      </c>
      <c r="AE42" s="4" t="s">
        <v>217</v>
      </c>
      <c r="AF42" s="4" t="s">
        <v>119</v>
      </c>
      <c r="AG42" s="4" t="s">
        <v>108</v>
      </c>
      <c r="AH42" s="4" t="s">
        <v>217</v>
      </c>
      <c r="AI42" s="4" t="s">
        <v>108</v>
      </c>
      <c r="AJ42" s="4" t="s">
        <v>119</v>
      </c>
      <c r="AK42" s="4" t="s">
        <v>101</v>
      </c>
      <c r="AL42" s="4" t="s">
        <v>108</v>
      </c>
      <c r="AM42" s="4" t="s">
        <v>101</v>
      </c>
      <c r="AN42" s="4" t="s">
        <v>217</v>
      </c>
      <c r="AO42" s="4" t="s">
        <v>119</v>
      </c>
      <c r="AP42" s="4" t="s">
        <v>119</v>
      </c>
      <c r="AQ42" s="4" t="s">
        <v>217</v>
      </c>
      <c r="AR42" s="4">
        <v>1</v>
      </c>
      <c r="AS42" s="4" t="s">
        <v>101</v>
      </c>
      <c r="AT42" s="4">
        <v>1</v>
      </c>
      <c r="AU42" s="4" t="s">
        <v>101</v>
      </c>
      <c r="AV42" s="4">
        <v>0</v>
      </c>
      <c r="AW42" s="4">
        <v>0</v>
      </c>
      <c r="AX42" s="4">
        <v>0</v>
      </c>
      <c r="AY42" s="4">
        <v>0</v>
      </c>
      <c r="AZ42" s="4" t="s">
        <v>101</v>
      </c>
      <c r="BA42" s="4">
        <v>1</v>
      </c>
      <c r="BB42" s="4" t="s">
        <v>101</v>
      </c>
      <c r="BC42" s="4">
        <v>0</v>
      </c>
      <c r="BD42" s="4">
        <v>0</v>
      </c>
      <c r="BE42" s="4">
        <v>0</v>
      </c>
      <c r="BF42" s="4">
        <v>0</v>
      </c>
      <c r="BG42" s="4" t="s">
        <v>101</v>
      </c>
      <c r="BH42" s="4" t="s">
        <v>101</v>
      </c>
      <c r="BI42" s="4" t="s">
        <v>101</v>
      </c>
      <c r="BJ42" s="4" t="s">
        <v>101</v>
      </c>
      <c r="BK42" s="4" t="s">
        <v>101</v>
      </c>
      <c r="BL42" s="4" t="s">
        <v>101</v>
      </c>
      <c r="BM42" s="4" t="s">
        <v>101</v>
      </c>
      <c r="BN42" s="4">
        <v>0</v>
      </c>
      <c r="BO42" s="4">
        <v>0</v>
      </c>
      <c r="BP42" s="4">
        <v>1</v>
      </c>
      <c r="BQ42" s="4">
        <v>0</v>
      </c>
      <c r="BR42" s="4" t="s">
        <v>101</v>
      </c>
      <c r="BS42" s="4" t="s">
        <v>101</v>
      </c>
      <c r="BT42" s="4" t="s">
        <v>101</v>
      </c>
      <c r="BU42" s="4" t="s">
        <v>101</v>
      </c>
      <c r="BV42" s="4">
        <v>0</v>
      </c>
      <c r="BW42" s="4">
        <v>0</v>
      </c>
      <c r="BX42" s="4">
        <v>1</v>
      </c>
      <c r="BY42" s="4">
        <v>0</v>
      </c>
      <c r="BZ42" s="4">
        <v>0</v>
      </c>
      <c r="CA42" s="4">
        <v>0</v>
      </c>
      <c r="CB42" s="19" t="s">
        <v>109</v>
      </c>
      <c r="CC42" s="19" t="s">
        <v>109</v>
      </c>
      <c r="CD42" s="19" t="s">
        <v>109</v>
      </c>
      <c r="CE42" s="19" t="s">
        <v>109</v>
      </c>
      <c r="CF42" s="19" t="s">
        <v>109</v>
      </c>
      <c r="CG42" s="19" t="s">
        <v>109</v>
      </c>
      <c r="CH42" s="46" t="s">
        <v>110</v>
      </c>
      <c r="CI42" s="46" t="s">
        <v>109</v>
      </c>
      <c r="CJ42" s="46" t="s">
        <v>109</v>
      </c>
      <c r="CK42" s="46" t="s">
        <v>110</v>
      </c>
      <c r="CL42" s="46" t="s">
        <v>109</v>
      </c>
      <c r="CM42" s="46" t="s">
        <v>109</v>
      </c>
      <c r="CN42" s="46" t="s">
        <v>110</v>
      </c>
      <c r="CO42" s="46" t="s">
        <v>109</v>
      </c>
      <c r="CP42" s="46" t="s">
        <v>109</v>
      </c>
    </row>
    <row r="43" spans="1:94">
      <c r="A43" s="4" t="s">
        <v>249</v>
      </c>
      <c r="B43" s="4">
        <v>6</v>
      </c>
      <c r="C43" s="29">
        <v>40892</v>
      </c>
      <c r="D43" s="29" t="s">
        <v>91</v>
      </c>
      <c r="E43" s="4">
        <v>1993</v>
      </c>
      <c r="F43" s="4" t="s">
        <v>183</v>
      </c>
      <c r="G43" s="4" t="s">
        <v>93</v>
      </c>
      <c r="H43" s="4" t="s">
        <v>94</v>
      </c>
      <c r="I43" s="4" t="s">
        <v>95</v>
      </c>
      <c r="J43" s="45" t="s">
        <v>132</v>
      </c>
      <c r="K43" s="45" t="s">
        <v>97</v>
      </c>
      <c r="L43" s="4" t="s">
        <v>98</v>
      </c>
      <c r="M43" s="4" t="s">
        <v>99</v>
      </c>
      <c r="N43" s="4" t="s">
        <v>105</v>
      </c>
      <c r="O43" s="4">
        <v>7</v>
      </c>
      <c r="P43" s="4">
        <v>8</v>
      </c>
      <c r="Q43" s="4" t="s">
        <v>101</v>
      </c>
      <c r="R43" s="4" t="s">
        <v>258</v>
      </c>
      <c r="S43" s="4" t="s">
        <v>259</v>
      </c>
      <c r="T43" s="4" t="s">
        <v>101</v>
      </c>
      <c r="U43" s="4" t="s">
        <v>105</v>
      </c>
      <c r="V43" s="4">
        <v>2</v>
      </c>
      <c r="W43" s="4">
        <v>2</v>
      </c>
      <c r="X43" s="4">
        <v>1</v>
      </c>
      <c r="Y43" s="4" t="s">
        <v>106</v>
      </c>
      <c r="Z43" s="4" t="s">
        <v>107</v>
      </c>
      <c r="AA43" s="4" t="s">
        <v>107</v>
      </c>
      <c r="AB43" s="4" t="s">
        <v>101</v>
      </c>
      <c r="AC43" s="4" t="s">
        <v>107</v>
      </c>
      <c r="AD43" s="4" t="s">
        <v>119</v>
      </c>
      <c r="AE43" s="4" t="s">
        <v>101</v>
      </c>
      <c r="AF43" s="4" t="s">
        <v>108</v>
      </c>
      <c r="AG43" s="4" t="s">
        <v>107</v>
      </c>
      <c r="AH43" s="4" t="s">
        <v>107</v>
      </c>
      <c r="AI43" s="4" t="s">
        <v>107</v>
      </c>
      <c r="AJ43" s="4" t="s">
        <v>107</v>
      </c>
      <c r="AK43" s="4" t="s">
        <v>101</v>
      </c>
      <c r="AL43" s="4" t="s">
        <v>108</v>
      </c>
      <c r="AM43" s="4" t="s">
        <v>119</v>
      </c>
      <c r="AN43" s="4" t="s">
        <v>101</v>
      </c>
      <c r="AO43" s="4" t="s">
        <v>108</v>
      </c>
      <c r="AP43" s="4" t="s">
        <v>107</v>
      </c>
      <c r="AQ43" s="4" t="s">
        <v>107</v>
      </c>
      <c r="AR43" s="4">
        <v>1</v>
      </c>
      <c r="AS43" s="4">
        <v>0</v>
      </c>
      <c r="AT43" s="4">
        <v>0</v>
      </c>
      <c r="AU43" s="4">
        <v>0</v>
      </c>
      <c r="AV43" s="4" t="s">
        <v>101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 t="s">
        <v>101</v>
      </c>
      <c r="BD43" s="4">
        <v>0</v>
      </c>
      <c r="BE43" s="4">
        <v>0</v>
      </c>
      <c r="BF43" s="4">
        <v>0</v>
      </c>
      <c r="BG43" s="4" t="s">
        <v>101</v>
      </c>
      <c r="BH43" s="4" t="s">
        <v>101</v>
      </c>
      <c r="BI43" s="4" t="s">
        <v>101</v>
      </c>
      <c r="BJ43" s="4" t="s">
        <v>101</v>
      </c>
      <c r="BK43" s="4" t="s">
        <v>101</v>
      </c>
      <c r="BL43" s="4" t="s">
        <v>101</v>
      </c>
      <c r="BM43" s="4">
        <v>0</v>
      </c>
      <c r="BN43" s="4" t="s">
        <v>101</v>
      </c>
      <c r="BO43" s="4">
        <v>1</v>
      </c>
      <c r="BP43" s="4">
        <v>0</v>
      </c>
      <c r="BQ43" s="4">
        <v>0</v>
      </c>
      <c r="BR43" s="4" t="s">
        <v>101</v>
      </c>
      <c r="BS43" s="4">
        <v>0</v>
      </c>
      <c r="BT43" s="4">
        <v>0</v>
      </c>
      <c r="BU43" s="4">
        <v>0</v>
      </c>
      <c r="BV43" s="4" t="s">
        <v>101</v>
      </c>
      <c r="BW43" s="4" t="s">
        <v>101</v>
      </c>
      <c r="BX43" s="4" t="s">
        <v>101</v>
      </c>
      <c r="BY43" s="4">
        <v>0</v>
      </c>
      <c r="BZ43" s="4">
        <v>0</v>
      </c>
      <c r="CA43" s="4">
        <v>0</v>
      </c>
      <c r="CB43" s="19" t="s">
        <v>109</v>
      </c>
      <c r="CC43" s="19" t="s">
        <v>109</v>
      </c>
      <c r="CD43" s="19" t="s">
        <v>111</v>
      </c>
      <c r="CE43" s="19" t="s">
        <v>111</v>
      </c>
      <c r="CF43" s="19" t="s">
        <v>109</v>
      </c>
      <c r="CG43" s="19" t="s">
        <v>109</v>
      </c>
      <c r="CH43" s="46" t="s">
        <v>110</v>
      </c>
      <c r="CI43" s="46" t="s">
        <v>111</v>
      </c>
      <c r="CJ43" s="46" t="s">
        <v>109</v>
      </c>
      <c r="CK43" s="46" t="s">
        <v>130</v>
      </c>
      <c r="CL43" s="46" t="s">
        <v>111</v>
      </c>
      <c r="CM43" s="46" t="s">
        <v>111</v>
      </c>
      <c r="CN43" s="46" t="s">
        <v>130</v>
      </c>
      <c r="CO43" s="46" t="s">
        <v>111</v>
      </c>
      <c r="CP43" s="46" t="s">
        <v>109</v>
      </c>
    </row>
    <row r="44" spans="1:94">
      <c r="A44" s="4" t="s">
        <v>249</v>
      </c>
      <c r="B44" s="4">
        <v>7</v>
      </c>
      <c r="C44" s="29">
        <v>40876</v>
      </c>
      <c r="D44" s="29" t="s">
        <v>91</v>
      </c>
      <c r="E44" s="4">
        <v>1992</v>
      </c>
      <c r="F44" s="4" t="s">
        <v>183</v>
      </c>
      <c r="G44" s="4" t="s">
        <v>260</v>
      </c>
      <c r="H44" s="4" t="s">
        <v>94</v>
      </c>
      <c r="I44" s="4" t="s">
        <v>166</v>
      </c>
      <c r="J44" s="45" t="s">
        <v>96</v>
      </c>
      <c r="K44" s="45" t="s">
        <v>97</v>
      </c>
      <c r="L44" s="4" t="s">
        <v>99</v>
      </c>
      <c r="M44" s="4" t="s">
        <v>114</v>
      </c>
      <c r="N44" s="4" t="s">
        <v>261</v>
      </c>
      <c r="O44" s="4">
        <v>4</v>
      </c>
      <c r="P44" s="4">
        <v>0</v>
      </c>
      <c r="Q44" s="4" t="s">
        <v>101</v>
      </c>
      <c r="R44" s="4" t="s">
        <v>262</v>
      </c>
      <c r="S44" s="4" t="s">
        <v>230</v>
      </c>
      <c r="T44" s="4" t="s">
        <v>137</v>
      </c>
      <c r="U44" s="4" t="s">
        <v>101</v>
      </c>
      <c r="V44" s="4">
        <v>0</v>
      </c>
      <c r="W44" s="4">
        <v>0</v>
      </c>
      <c r="X44" s="4">
        <v>0</v>
      </c>
      <c r="Y44" s="4" t="s">
        <v>106</v>
      </c>
      <c r="Z44" s="4" t="s">
        <v>108</v>
      </c>
      <c r="AA44" s="4" t="s">
        <v>108</v>
      </c>
      <c r="AB44" s="4" t="s">
        <v>101</v>
      </c>
      <c r="AC44" s="4" t="s">
        <v>108</v>
      </c>
      <c r="AD44" s="4" t="s">
        <v>108</v>
      </c>
      <c r="AE44" s="4" t="s">
        <v>108</v>
      </c>
      <c r="AF44" s="4" t="s">
        <v>101</v>
      </c>
      <c r="AG44" s="4" t="s">
        <v>108</v>
      </c>
      <c r="AH44" s="4" t="s">
        <v>119</v>
      </c>
      <c r="AI44" s="4" t="s">
        <v>108</v>
      </c>
      <c r="AJ44" s="4" t="s">
        <v>119</v>
      </c>
      <c r="AK44" s="4" t="s">
        <v>101</v>
      </c>
      <c r="AL44" s="4" t="s">
        <v>108</v>
      </c>
      <c r="AM44" s="4" t="s">
        <v>108</v>
      </c>
      <c r="AN44" s="4" t="s">
        <v>119</v>
      </c>
      <c r="AO44" s="4" t="s">
        <v>101</v>
      </c>
      <c r="AP44" s="4" t="s">
        <v>119</v>
      </c>
      <c r="AQ44" s="4" t="s">
        <v>119</v>
      </c>
      <c r="AR44" s="4">
        <v>0</v>
      </c>
      <c r="AS44" s="4" t="s">
        <v>101</v>
      </c>
      <c r="AT44" s="4">
        <v>1</v>
      </c>
      <c r="AU44" s="4">
        <v>0</v>
      </c>
      <c r="AV44" s="4">
        <v>0</v>
      </c>
      <c r="AW44" s="4" t="s">
        <v>101</v>
      </c>
      <c r="AX44" s="4">
        <v>0</v>
      </c>
      <c r="AY44" s="4">
        <v>0</v>
      </c>
      <c r="AZ44" s="4" t="s">
        <v>101</v>
      </c>
      <c r="BA44" s="4">
        <v>1</v>
      </c>
      <c r="BB44" s="4">
        <v>0</v>
      </c>
      <c r="BC44" s="4">
        <v>0</v>
      </c>
      <c r="BD44" s="4">
        <v>0</v>
      </c>
      <c r="BE44" s="4" t="s">
        <v>101</v>
      </c>
      <c r="BF44" s="4">
        <v>0</v>
      </c>
      <c r="BG44" s="4" t="s">
        <v>101</v>
      </c>
      <c r="BH44" s="4" t="s">
        <v>101</v>
      </c>
      <c r="BI44" s="4" t="s">
        <v>101</v>
      </c>
      <c r="BJ44" s="4" t="s">
        <v>101</v>
      </c>
      <c r="BK44" s="4" t="s">
        <v>101</v>
      </c>
      <c r="BL44" s="4" t="s">
        <v>101</v>
      </c>
      <c r="BM44" s="4">
        <v>0</v>
      </c>
      <c r="BN44" s="4">
        <v>0</v>
      </c>
      <c r="BO44" s="4" t="s">
        <v>101</v>
      </c>
      <c r="BP44" s="4">
        <v>1</v>
      </c>
      <c r="BQ44" s="4">
        <v>0</v>
      </c>
      <c r="BR44" s="4">
        <v>0</v>
      </c>
      <c r="BS44" s="4" t="s">
        <v>101</v>
      </c>
      <c r="BT44" s="4">
        <v>1</v>
      </c>
      <c r="BU44" s="4">
        <v>0</v>
      </c>
      <c r="BV44" s="4" t="s">
        <v>101</v>
      </c>
      <c r="BW44" s="4">
        <v>0</v>
      </c>
      <c r="BX44" s="4">
        <v>1</v>
      </c>
      <c r="BY44" s="4" t="s">
        <v>101</v>
      </c>
      <c r="BZ44" s="4" t="s">
        <v>101</v>
      </c>
      <c r="CA44" s="4">
        <v>0</v>
      </c>
      <c r="CB44" s="19" t="s">
        <v>109</v>
      </c>
      <c r="CC44" s="19" t="s">
        <v>109</v>
      </c>
      <c r="CD44" s="19" t="s">
        <v>111</v>
      </c>
      <c r="CE44" s="19" t="s">
        <v>111</v>
      </c>
      <c r="CF44" s="19" t="s">
        <v>109</v>
      </c>
      <c r="CG44" s="19" t="s">
        <v>109</v>
      </c>
      <c r="CH44" s="46" t="s">
        <v>110</v>
      </c>
      <c r="CI44" s="46" t="s">
        <v>109</v>
      </c>
      <c r="CJ44" s="46" t="s">
        <v>111</v>
      </c>
      <c r="CK44" s="46" t="s">
        <v>110</v>
      </c>
      <c r="CL44" s="46" t="s">
        <v>111</v>
      </c>
      <c r="CM44" s="46" t="s">
        <v>109</v>
      </c>
      <c r="CN44" s="46" t="s">
        <v>110</v>
      </c>
      <c r="CO44" s="46" t="s">
        <v>109</v>
      </c>
      <c r="CP44" s="46" t="s">
        <v>111</v>
      </c>
    </row>
    <row r="45" spans="1:94">
      <c r="A45" s="4" t="s">
        <v>249</v>
      </c>
      <c r="B45" s="4">
        <v>8</v>
      </c>
      <c r="C45" s="29">
        <v>40876</v>
      </c>
      <c r="D45" s="29" t="s">
        <v>91</v>
      </c>
      <c r="E45" s="4">
        <v>1991</v>
      </c>
      <c r="F45" s="4" t="s">
        <v>92</v>
      </c>
      <c r="G45" s="4" t="s">
        <v>93</v>
      </c>
      <c r="H45" s="4" t="s">
        <v>94</v>
      </c>
      <c r="I45" s="4" t="s">
        <v>113</v>
      </c>
      <c r="J45" s="45" t="s">
        <v>132</v>
      </c>
      <c r="K45" s="45" t="s">
        <v>97</v>
      </c>
      <c r="L45" s="4" t="s">
        <v>99</v>
      </c>
      <c r="M45" s="4" t="s">
        <v>228</v>
      </c>
      <c r="N45" s="4" t="s">
        <v>105</v>
      </c>
      <c r="O45" s="4">
        <v>9</v>
      </c>
      <c r="P45" s="4">
        <v>4</v>
      </c>
      <c r="Q45" s="4" t="s">
        <v>150</v>
      </c>
      <c r="R45" s="4" t="s">
        <v>101</v>
      </c>
      <c r="S45" s="4" t="s">
        <v>263</v>
      </c>
      <c r="T45" s="4" t="s">
        <v>264</v>
      </c>
      <c r="U45" s="4" t="s">
        <v>105</v>
      </c>
      <c r="V45" s="4">
        <v>3</v>
      </c>
      <c r="W45" s="4">
        <v>1</v>
      </c>
      <c r="X45" s="4">
        <v>4</v>
      </c>
      <c r="Y45" s="4" t="s">
        <v>118</v>
      </c>
      <c r="Z45" s="4" t="s">
        <v>107</v>
      </c>
      <c r="AA45" s="4" t="s">
        <v>108</v>
      </c>
      <c r="AB45" s="4" t="s">
        <v>101</v>
      </c>
      <c r="AC45" s="4" t="s">
        <v>107</v>
      </c>
      <c r="AD45" s="4" t="s">
        <v>119</v>
      </c>
      <c r="AE45" s="4" t="s">
        <v>107</v>
      </c>
      <c r="AF45" s="4" t="s">
        <v>119</v>
      </c>
      <c r="AG45" s="4" t="s">
        <v>101</v>
      </c>
      <c r="AH45" s="4" t="s">
        <v>108</v>
      </c>
      <c r="AI45" s="4" t="s">
        <v>107</v>
      </c>
      <c r="AJ45" s="4" t="s">
        <v>119</v>
      </c>
      <c r="AK45" s="4" t="s">
        <v>101</v>
      </c>
      <c r="AL45" s="4" t="s">
        <v>107</v>
      </c>
      <c r="AM45" s="4" t="s">
        <v>119</v>
      </c>
      <c r="AN45" s="4" t="s">
        <v>107</v>
      </c>
      <c r="AO45" s="4" t="s">
        <v>119</v>
      </c>
      <c r="AP45" s="4" t="s">
        <v>101</v>
      </c>
      <c r="AQ45" s="4" t="s">
        <v>107</v>
      </c>
      <c r="AR45" s="4">
        <v>1</v>
      </c>
      <c r="AS45" s="4" t="s">
        <v>101</v>
      </c>
      <c r="AT45" s="4">
        <v>0</v>
      </c>
      <c r="AU45" s="4">
        <v>0</v>
      </c>
      <c r="AV45" s="4">
        <v>0</v>
      </c>
      <c r="AW45" s="4">
        <v>0</v>
      </c>
      <c r="AX45" s="4" t="s">
        <v>101</v>
      </c>
      <c r="AY45" s="4">
        <v>0</v>
      </c>
      <c r="AZ45" s="4" t="s">
        <v>101</v>
      </c>
      <c r="BA45" s="4">
        <v>0</v>
      </c>
      <c r="BB45" s="4">
        <v>0</v>
      </c>
      <c r="BC45" s="4">
        <v>0</v>
      </c>
      <c r="BD45" s="4">
        <v>0</v>
      </c>
      <c r="BE45" s="4" t="s">
        <v>101</v>
      </c>
      <c r="BF45" s="4">
        <v>0</v>
      </c>
      <c r="BG45" s="4" t="s">
        <v>101</v>
      </c>
      <c r="BH45" s="4" t="s">
        <v>101</v>
      </c>
      <c r="BI45" s="4" t="s">
        <v>101</v>
      </c>
      <c r="BJ45" s="4" t="s">
        <v>101</v>
      </c>
      <c r="BK45" s="4" t="s">
        <v>101</v>
      </c>
      <c r="BL45" s="4" t="s">
        <v>101</v>
      </c>
      <c r="BM45" s="4">
        <v>0</v>
      </c>
      <c r="BN45" s="4">
        <v>0</v>
      </c>
      <c r="BO45" s="4">
        <v>0</v>
      </c>
      <c r="BP45" s="4" t="s">
        <v>101</v>
      </c>
      <c r="BQ45" s="4">
        <v>0</v>
      </c>
      <c r="BR45" s="4">
        <v>0</v>
      </c>
      <c r="BS45" s="4">
        <v>1</v>
      </c>
      <c r="BT45" s="4" t="s">
        <v>101</v>
      </c>
      <c r="BU45" s="4">
        <v>0</v>
      </c>
      <c r="BV45" s="4">
        <v>0</v>
      </c>
      <c r="BW45" s="4" t="s">
        <v>101</v>
      </c>
      <c r="BX45" s="4">
        <v>1</v>
      </c>
      <c r="BY45" s="4" t="s">
        <v>101</v>
      </c>
      <c r="BZ45" s="4">
        <v>0</v>
      </c>
      <c r="CA45" s="4" t="s">
        <v>101</v>
      </c>
      <c r="CB45" s="19" t="s">
        <v>111</v>
      </c>
      <c r="CC45" s="19" t="s">
        <v>111</v>
      </c>
      <c r="CD45" s="19" t="s">
        <v>111</v>
      </c>
      <c r="CE45" s="19" t="s">
        <v>109</v>
      </c>
      <c r="CF45" s="19" t="s">
        <v>111</v>
      </c>
      <c r="CG45" s="19" t="s">
        <v>111</v>
      </c>
      <c r="CH45" s="46" t="s">
        <v>130</v>
      </c>
      <c r="CI45" s="46" t="s">
        <v>109</v>
      </c>
      <c r="CJ45" s="46" t="s">
        <v>109</v>
      </c>
      <c r="CK45" s="46" t="s">
        <v>110</v>
      </c>
      <c r="CL45" s="46" t="s">
        <v>101</v>
      </c>
      <c r="CM45" s="46" t="s">
        <v>111</v>
      </c>
      <c r="CN45" s="46" t="s">
        <v>110</v>
      </c>
      <c r="CO45" s="46" t="s">
        <v>109</v>
      </c>
      <c r="CP45" s="46" t="s">
        <v>111</v>
      </c>
    </row>
    <row r="46" spans="1:94">
      <c r="A46" s="4" t="s">
        <v>265</v>
      </c>
      <c r="B46" s="4">
        <v>1</v>
      </c>
      <c r="C46" s="29">
        <v>40876</v>
      </c>
      <c r="D46" s="29" t="s">
        <v>91</v>
      </c>
      <c r="E46" s="4">
        <v>1988</v>
      </c>
      <c r="F46" s="4" t="s">
        <v>120</v>
      </c>
      <c r="G46" s="4" t="s">
        <v>93</v>
      </c>
      <c r="H46" s="4" t="s">
        <v>94</v>
      </c>
      <c r="I46" s="4" t="s">
        <v>113</v>
      </c>
      <c r="J46" s="45" t="s">
        <v>96</v>
      </c>
      <c r="K46" s="45" t="s">
        <v>97</v>
      </c>
      <c r="L46" s="4" t="s">
        <v>133</v>
      </c>
      <c r="M46" s="4" t="s">
        <v>114</v>
      </c>
      <c r="N46" s="4" t="s">
        <v>100</v>
      </c>
      <c r="O46" s="4">
        <v>5</v>
      </c>
      <c r="P46" s="4">
        <v>0</v>
      </c>
      <c r="Q46" s="4" t="s">
        <v>266</v>
      </c>
      <c r="R46" s="4" t="s">
        <v>101</v>
      </c>
      <c r="S46" s="4" t="s">
        <v>267</v>
      </c>
      <c r="T46" s="4" t="s">
        <v>268</v>
      </c>
      <c r="U46" s="4" t="s">
        <v>269</v>
      </c>
      <c r="V46" s="4">
        <v>3</v>
      </c>
      <c r="W46" s="4">
        <v>1</v>
      </c>
      <c r="X46" s="4">
        <v>2</v>
      </c>
      <c r="Y46" s="4" t="s">
        <v>106</v>
      </c>
      <c r="Z46" s="4" t="s">
        <v>101</v>
      </c>
      <c r="AA46" s="4" t="s">
        <v>217</v>
      </c>
      <c r="AB46" s="4" t="s">
        <v>108</v>
      </c>
      <c r="AC46" s="4" t="s">
        <v>108</v>
      </c>
      <c r="AD46" s="4" t="s">
        <v>107</v>
      </c>
      <c r="AE46" s="4" t="s">
        <v>108</v>
      </c>
      <c r="AF46" s="4" t="s">
        <v>108</v>
      </c>
      <c r="AG46" s="4" t="s">
        <v>217</v>
      </c>
      <c r="AH46" s="4" t="s">
        <v>107</v>
      </c>
      <c r="AI46" s="4" t="s">
        <v>101</v>
      </c>
      <c r="AJ46" s="4" t="s">
        <v>217</v>
      </c>
      <c r="AK46" s="4" t="s">
        <v>108</v>
      </c>
      <c r="AL46" s="4" t="s">
        <v>108</v>
      </c>
      <c r="AM46" s="4" t="s">
        <v>107</v>
      </c>
      <c r="AN46" s="4" t="s">
        <v>108</v>
      </c>
      <c r="AO46" s="4" t="s">
        <v>108</v>
      </c>
      <c r="AP46" s="4" t="s">
        <v>217</v>
      </c>
      <c r="AQ46" s="4" t="s">
        <v>107</v>
      </c>
      <c r="AR46" s="4" t="s">
        <v>101</v>
      </c>
      <c r="AS46" s="4" t="s">
        <v>101</v>
      </c>
      <c r="AT46" s="4" t="s">
        <v>101</v>
      </c>
      <c r="AU46" s="4" t="s">
        <v>101</v>
      </c>
      <c r="AV46" s="4" t="s">
        <v>101</v>
      </c>
      <c r="AW46" s="4" t="s">
        <v>101</v>
      </c>
      <c r="AX46" s="4" t="s">
        <v>101</v>
      </c>
      <c r="AY46" s="4" t="s">
        <v>101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1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19" t="s">
        <v>111</v>
      </c>
      <c r="CC46" s="19" t="s">
        <v>109</v>
      </c>
      <c r="CD46" s="19" t="s">
        <v>111</v>
      </c>
      <c r="CE46" s="19" t="s">
        <v>111</v>
      </c>
      <c r="CF46" s="19" t="s">
        <v>111</v>
      </c>
      <c r="CG46" s="19" t="s">
        <v>111</v>
      </c>
      <c r="CH46" s="46" t="s">
        <v>110</v>
      </c>
      <c r="CI46" s="46" t="s">
        <v>109</v>
      </c>
      <c r="CJ46" s="46" t="s">
        <v>111</v>
      </c>
      <c r="CK46" s="46" t="s">
        <v>110</v>
      </c>
      <c r="CL46" s="46" t="s">
        <v>109</v>
      </c>
      <c r="CM46" s="46" t="s">
        <v>109</v>
      </c>
      <c r="CN46" s="46" t="s">
        <v>110</v>
      </c>
      <c r="CO46" s="46" t="s">
        <v>109</v>
      </c>
      <c r="CP46" s="46" t="s">
        <v>109</v>
      </c>
    </row>
    <row r="47" spans="1:94">
      <c r="A47" s="4" t="s">
        <v>265</v>
      </c>
      <c r="B47" s="4">
        <v>2</v>
      </c>
      <c r="C47" s="29">
        <v>40876</v>
      </c>
      <c r="D47" s="29" t="s">
        <v>91</v>
      </c>
      <c r="E47" s="4">
        <v>1992</v>
      </c>
      <c r="F47" s="4" t="s">
        <v>92</v>
      </c>
      <c r="G47" s="4" t="s">
        <v>93</v>
      </c>
      <c r="H47" s="4" t="s">
        <v>94</v>
      </c>
      <c r="I47" s="4" t="s">
        <v>95</v>
      </c>
      <c r="J47" s="4" t="s">
        <v>158</v>
      </c>
      <c r="K47" s="45" t="s">
        <v>122</v>
      </c>
      <c r="L47" s="4" t="s">
        <v>101</v>
      </c>
      <c r="M47" s="4" t="s">
        <v>114</v>
      </c>
      <c r="N47" s="4" t="s">
        <v>270</v>
      </c>
      <c r="O47" s="4">
        <v>4</v>
      </c>
      <c r="P47" s="4">
        <v>8</v>
      </c>
      <c r="Q47" s="4" t="s">
        <v>101</v>
      </c>
      <c r="R47" s="4" t="s">
        <v>271</v>
      </c>
      <c r="S47" s="4" t="s">
        <v>199</v>
      </c>
      <c r="T47" s="4" t="s">
        <v>233</v>
      </c>
      <c r="U47" s="4" t="s">
        <v>105</v>
      </c>
      <c r="V47" s="4">
        <v>0</v>
      </c>
      <c r="W47" s="4">
        <v>0</v>
      </c>
      <c r="X47" s="4">
        <v>1</v>
      </c>
      <c r="Y47" s="4" t="s">
        <v>118</v>
      </c>
      <c r="Z47" s="4" t="s">
        <v>119</v>
      </c>
      <c r="AA47" s="4" t="s">
        <v>101</v>
      </c>
      <c r="AB47" s="4" t="s">
        <v>108</v>
      </c>
      <c r="AC47" s="4" t="s">
        <v>108</v>
      </c>
      <c r="AD47" s="4" t="s">
        <v>108</v>
      </c>
      <c r="AE47" s="4" t="s">
        <v>108</v>
      </c>
      <c r="AF47" s="4" t="s">
        <v>119</v>
      </c>
      <c r="AG47" s="4" t="s">
        <v>108</v>
      </c>
      <c r="AH47" s="4" t="s">
        <v>119</v>
      </c>
      <c r="AI47" s="4" t="s">
        <v>119</v>
      </c>
      <c r="AJ47" s="4" t="s">
        <v>101</v>
      </c>
      <c r="AK47" s="4" t="s">
        <v>108</v>
      </c>
      <c r="AL47" s="4" t="s">
        <v>108</v>
      </c>
      <c r="AM47" s="4" t="s">
        <v>108</v>
      </c>
      <c r="AN47" s="4" t="s">
        <v>119</v>
      </c>
      <c r="AO47" s="4" t="s">
        <v>119</v>
      </c>
      <c r="AP47" s="4" t="s">
        <v>108</v>
      </c>
      <c r="AQ47" s="4" t="s">
        <v>119</v>
      </c>
      <c r="AR47" s="4" t="s">
        <v>101</v>
      </c>
      <c r="AS47" s="4">
        <v>0</v>
      </c>
      <c r="AT47" s="4">
        <v>0</v>
      </c>
      <c r="AU47" s="4">
        <v>1</v>
      </c>
      <c r="AV47" s="4">
        <v>0</v>
      </c>
      <c r="AW47" s="4">
        <v>0</v>
      </c>
      <c r="AX47" s="4">
        <v>0</v>
      </c>
      <c r="AY47" s="4">
        <v>0</v>
      </c>
      <c r="AZ47" s="4" t="s">
        <v>101</v>
      </c>
      <c r="BA47" s="4" t="s">
        <v>101</v>
      </c>
      <c r="BB47" s="4" t="s">
        <v>101</v>
      </c>
      <c r="BC47" s="4" t="s">
        <v>101</v>
      </c>
      <c r="BD47" s="4" t="s">
        <v>101</v>
      </c>
      <c r="BE47" s="4" t="s">
        <v>101</v>
      </c>
      <c r="BF47" s="4" t="s">
        <v>101</v>
      </c>
      <c r="BG47" s="4">
        <v>1</v>
      </c>
      <c r="BH47" s="4">
        <v>0</v>
      </c>
      <c r="BI47" s="4">
        <v>0</v>
      </c>
      <c r="BJ47" s="4">
        <v>0</v>
      </c>
      <c r="BK47" s="4">
        <v>1</v>
      </c>
      <c r="BL47" s="4">
        <v>0</v>
      </c>
      <c r="BM47" s="4">
        <v>0</v>
      </c>
      <c r="BN47" s="4">
        <v>0</v>
      </c>
      <c r="BO47" s="4">
        <v>0</v>
      </c>
      <c r="BP47" s="4">
        <v>1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19" t="s">
        <v>111</v>
      </c>
      <c r="CC47" s="19" t="s">
        <v>109</v>
      </c>
      <c r="CD47" s="19" t="s">
        <v>111</v>
      </c>
      <c r="CE47" s="19" t="s">
        <v>109</v>
      </c>
      <c r="CF47" s="19" t="s">
        <v>111</v>
      </c>
      <c r="CG47" s="19" t="s">
        <v>109</v>
      </c>
      <c r="CH47" s="46" t="s">
        <v>110</v>
      </c>
      <c r="CI47" s="46" t="s">
        <v>111</v>
      </c>
      <c r="CJ47" s="46" t="s">
        <v>109</v>
      </c>
      <c r="CK47" s="46" t="s">
        <v>110</v>
      </c>
      <c r="CL47" s="46" t="s">
        <v>111</v>
      </c>
      <c r="CM47" s="46" t="s">
        <v>109</v>
      </c>
      <c r="CN47" s="46" t="s">
        <v>110</v>
      </c>
      <c r="CO47" s="46" t="s">
        <v>111</v>
      </c>
      <c r="CP47" s="46" t="s">
        <v>109</v>
      </c>
    </row>
    <row r="48" spans="1:94">
      <c r="A48" s="4" t="s">
        <v>265</v>
      </c>
      <c r="B48" s="4">
        <v>3</v>
      </c>
      <c r="C48" s="29">
        <v>40876</v>
      </c>
      <c r="D48" s="29" t="s">
        <v>91</v>
      </c>
      <c r="E48" s="4">
        <v>1992</v>
      </c>
      <c r="F48" s="4" t="s">
        <v>92</v>
      </c>
      <c r="G48" s="4" t="s">
        <v>260</v>
      </c>
      <c r="H48" s="4" t="s">
        <v>94</v>
      </c>
      <c r="I48" s="4" t="s">
        <v>113</v>
      </c>
      <c r="J48" s="45" t="s">
        <v>96</v>
      </c>
      <c r="K48" s="45" t="s">
        <v>97</v>
      </c>
      <c r="L48" s="4" t="s">
        <v>152</v>
      </c>
      <c r="M48" s="4" t="s">
        <v>114</v>
      </c>
      <c r="N48" s="4" t="s">
        <v>272</v>
      </c>
      <c r="O48" s="4">
        <v>8</v>
      </c>
      <c r="P48" s="4">
        <v>2</v>
      </c>
      <c r="Q48" s="4" t="s">
        <v>101</v>
      </c>
      <c r="R48" s="4" t="s">
        <v>220</v>
      </c>
      <c r="S48" s="4" t="s">
        <v>101</v>
      </c>
      <c r="T48" s="4" t="s">
        <v>273</v>
      </c>
      <c r="U48" s="4" t="s">
        <v>101</v>
      </c>
      <c r="V48" s="4">
        <v>0</v>
      </c>
      <c r="W48" s="4">
        <v>0</v>
      </c>
      <c r="X48" s="4">
        <v>2</v>
      </c>
      <c r="Y48" s="4" t="s">
        <v>106</v>
      </c>
      <c r="Z48" s="4" t="s">
        <v>119</v>
      </c>
      <c r="AA48" s="4" t="s">
        <v>108</v>
      </c>
      <c r="AB48" s="4" t="s">
        <v>101</v>
      </c>
      <c r="AC48" s="4" t="s">
        <v>107</v>
      </c>
      <c r="AD48" s="4" t="s">
        <v>119</v>
      </c>
      <c r="AE48" s="4" t="s">
        <v>217</v>
      </c>
      <c r="AF48" s="4" t="s">
        <v>119</v>
      </c>
      <c r="AG48" s="4" t="s">
        <v>107</v>
      </c>
      <c r="AH48" s="4" t="s">
        <v>217</v>
      </c>
      <c r="AI48" s="4" t="s">
        <v>119</v>
      </c>
      <c r="AJ48" s="4" t="s">
        <v>108</v>
      </c>
      <c r="AK48" s="4" t="s">
        <v>101</v>
      </c>
      <c r="AL48" s="4" t="s">
        <v>107</v>
      </c>
      <c r="AM48" s="4" t="s">
        <v>119</v>
      </c>
      <c r="AN48" s="4" t="s">
        <v>119</v>
      </c>
      <c r="AO48" s="4" t="s">
        <v>119</v>
      </c>
      <c r="AP48" s="4" t="s">
        <v>107</v>
      </c>
      <c r="AQ48" s="4" t="s">
        <v>119</v>
      </c>
      <c r="AR48" s="4">
        <v>0</v>
      </c>
      <c r="AS48" s="4" t="s">
        <v>101</v>
      </c>
      <c r="AT48" s="4">
        <v>0</v>
      </c>
      <c r="AU48" s="4">
        <v>0</v>
      </c>
      <c r="AV48" s="4">
        <v>1</v>
      </c>
      <c r="AW48" s="4">
        <v>0</v>
      </c>
      <c r="AX48" s="4">
        <v>0</v>
      </c>
      <c r="AY48" s="4">
        <v>1</v>
      </c>
      <c r="AZ48" s="4" t="s">
        <v>101</v>
      </c>
      <c r="BA48" s="4">
        <v>1</v>
      </c>
      <c r="BB48" s="4">
        <v>0</v>
      </c>
      <c r="BC48" s="4">
        <v>0</v>
      </c>
      <c r="BD48" s="4">
        <v>1</v>
      </c>
      <c r="BE48" s="4">
        <v>0</v>
      </c>
      <c r="BF48" s="4">
        <v>0</v>
      </c>
      <c r="BG48" s="4" t="s">
        <v>101</v>
      </c>
      <c r="BH48" s="4" t="s">
        <v>101</v>
      </c>
      <c r="BI48" s="4" t="s">
        <v>101</v>
      </c>
      <c r="BJ48" s="4" t="s">
        <v>101</v>
      </c>
      <c r="BK48" s="4" t="s">
        <v>101</v>
      </c>
      <c r="BL48" s="4" t="s">
        <v>101</v>
      </c>
      <c r="BM48" s="4">
        <v>0</v>
      </c>
      <c r="BN48" s="4">
        <v>0</v>
      </c>
      <c r="BO48" s="4">
        <v>0</v>
      </c>
      <c r="BP48" s="4">
        <v>1</v>
      </c>
      <c r="BQ48" s="4">
        <v>0</v>
      </c>
      <c r="BR48" s="4">
        <v>0</v>
      </c>
      <c r="BS48" s="4">
        <v>0</v>
      </c>
      <c r="BT48" s="4">
        <v>0</v>
      </c>
      <c r="BU48" s="4">
        <v>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19" t="s">
        <v>111</v>
      </c>
      <c r="CC48" s="19" t="s">
        <v>111</v>
      </c>
      <c r="CD48" s="19" t="s">
        <v>109</v>
      </c>
      <c r="CE48" s="19" t="s">
        <v>111</v>
      </c>
      <c r="CF48" s="19" t="s">
        <v>111</v>
      </c>
      <c r="CG48" s="19" t="s">
        <v>111</v>
      </c>
      <c r="CH48" s="46" t="s">
        <v>110</v>
      </c>
      <c r="CI48" s="46" t="s">
        <v>109</v>
      </c>
      <c r="CJ48" s="46" t="s">
        <v>109</v>
      </c>
      <c r="CK48" s="46" t="s">
        <v>110</v>
      </c>
      <c r="CL48" s="46" t="s">
        <v>109</v>
      </c>
      <c r="CM48" s="46" t="s">
        <v>111</v>
      </c>
      <c r="CN48" s="46" t="s">
        <v>130</v>
      </c>
      <c r="CO48" s="46" t="s">
        <v>109</v>
      </c>
      <c r="CP48" s="46" t="s">
        <v>111</v>
      </c>
    </row>
    <row r="49" spans="1:94">
      <c r="A49" s="4" t="s">
        <v>265</v>
      </c>
      <c r="B49" s="4">
        <v>4</v>
      </c>
      <c r="C49" s="29">
        <v>40876</v>
      </c>
      <c r="D49" s="29" t="s">
        <v>91</v>
      </c>
      <c r="E49" s="4">
        <v>1990</v>
      </c>
      <c r="F49" s="4" t="s">
        <v>92</v>
      </c>
      <c r="G49" s="4" t="s">
        <v>131</v>
      </c>
      <c r="H49" s="4" t="s">
        <v>121</v>
      </c>
      <c r="I49" s="4" t="s">
        <v>95</v>
      </c>
      <c r="J49" s="45" t="s">
        <v>132</v>
      </c>
      <c r="K49" s="45" t="s">
        <v>97</v>
      </c>
      <c r="L49" s="4" t="s">
        <v>99</v>
      </c>
      <c r="M49" s="4" t="s">
        <v>114</v>
      </c>
      <c r="N49" s="4" t="s">
        <v>274</v>
      </c>
      <c r="O49" s="4">
        <v>5</v>
      </c>
      <c r="P49" s="4">
        <v>3</v>
      </c>
      <c r="Q49" s="4" t="s">
        <v>101</v>
      </c>
      <c r="R49" s="4" t="s">
        <v>275</v>
      </c>
      <c r="S49" s="4" t="s">
        <v>101</v>
      </c>
      <c r="T49" s="4" t="s">
        <v>273</v>
      </c>
      <c r="U49" s="4" t="s">
        <v>101</v>
      </c>
      <c r="V49" s="4">
        <v>0</v>
      </c>
      <c r="W49" s="4">
        <v>0</v>
      </c>
      <c r="X49" s="4">
        <v>3</v>
      </c>
      <c r="Y49" s="4" t="s">
        <v>106</v>
      </c>
      <c r="Z49" s="4" t="s">
        <v>108</v>
      </c>
      <c r="AA49" s="4" t="s">
        <v>107</v>
      </c>
      <c r="AB49" s="4" t="s">
        <v>107</v>
      </c>
      <c r="AC49" s="4" t="s">
        <v>101</v>
      </c>
      <c r="AD49" s="4" t="s">
        <v>107</v>
      </c>
      <c r="AE49" s="4" t="s">
        <v>108</v>
      </c>
      <c r="AF49" s="4" t="s">
        <v>108</v>
      </c>
      <c r="AG49" s="4" t="s">
        <v>107</v>
      </c>
      <c r="AH49" s="4" t="s">
        <v>108</v>
      </c>
      <c r="AI49" s="4" t="s">
        <v>108</v>
      </c>
      <c r="AJ49" s="4" t="s">
        <v>107</v>
      </c>
      <c r="AK49" s="4" t="s">
        <v>107</v>
      </c>
      <c r="AL49" s="4" t="s">
        <v>101</v>
      </c>
      <c r="AM49" s="4" t="s">
        <v>108</v>
      </c>
      <c r="AN49" s="4" t="s">
        <v>108</v>
      </c>
      <c r="AO49" s="4" t="s">
        <v>108</v>
      </c>
      <c r="AP49" s="4" t="s">
        <v>107</v>
      </c>
      <c r="AQ49" s="4" t="s">
        <v>108</v>
      </c>
      <c r="AR49" s="4">
        <v>0</v>
      </c>
      <c r="AS49" s="4">
        <v>0</v>
      </c>
      <c r="AT49" s="4" t="s">
        <v>101</v>
      </c>
      <c r="AU49" s="4">
        <v>1</v>
      </c>
      <c r="AV49" s="4">
        <v>1</v>
      </c>
      <c r="AW49" s="4">
        <v>1</v>
      </c>
      <c r="AX49" s="4">
        <v>0</v>
      </c>
      <c r="AY49" s="4">
        <v>1</v>
      </c>
      <c r="AZ49" s="4">
        <v>1</v>
      </c>
      <c r="BA49" s="4" t="s">
        <v>101</v>
      </c>
      <c r="BB49" s="4">
        <v>0</v>
      </c>
      <c r="BC49" s="4">
        <v>0</v>
      </c>
      <c r="BD49" s="4">
        <v>0</v>
      </c>
      <c r="BE49" s="4">
        <v>1</v>
      </c>
      <c r="BF49" s="4">
        <v>0</v>
      </c>
      <c r="BG49" s="4" t="s">
        <v>101</v>
      </c>
      <c r="BH49" s="4">
        <v>0</v>
      </c>
      <c r="BI49" s="4">
        <v>0</v>
      </c>
      <c r="BJ49" s="4">
        <v>0</v>
      </c>
      <c r="BK49" s="4">
        <v>1</v>
      </c>
      <c r="BL49" s="4">
        <v>0</v>
      </c>
      <c r="BM49" s="4" t="s">
        <v>101</v>
      </c>
      <c r="BN49" s="4" t="s">
        <v>101</v>
      </c>
      <c r="BO49" s="4" t="s">
        <v>101</v>
      </c>
      <c r="BP49" s="4" t="s">
        <v>101</v>
      </c>
      <c r="BQ49" s="4" t="s">
        <v>101</v>
      </c>
      <c r="BR49" s="4">
        <v>1</v>
      </c>
      <c r="BS49" s="4">
        <v>1</v>
      </c>
      <c r="BT49" s="4">
        <v>0</v>
      </c>
      <c r="BU49" s="4">
        <v>1</v>
      </c>
      <c r="BV49" s="4">
        <v>0</v>
      </c>
      <c r="BW49" s="4">
        <v>0</v>
      </c>
      <c r="BX49" s="4">
        <v>1</v>
      </c>
      <c r="BY49" s="4">
        <v>0</v>
      </c>
      <c r="BZ49" s="4">
        <v>0</v>
      </c>
      <c r="CA49" s="4">
        <v>0</v>
      </c>
      <c r="CB49" s="19" t="s">
        <v>109</v>
      </c>
      <c r="CC49" s="19" t="s">
        <v>109</v>
      </c>
      <c r="CD49" s="19" t="s">
        <v>109</v>
      </c>
      <c r="CE49" s="19" t="s">
        <v>109</v>
      </c>
      <c r="CF49" s="19" t="s">
        <v>109</v>
      </c>
      <c r="CG49" s="19" t="s">
        <v>109</v>
      </c>
      <c r="CH49" s="46" t="s">
        <v>110</v>
      </c>
      <c r="CI49" s="46" t="s">
        <v>109</v>
      </c>
      <c r="CJ49" s="46" t="s">
        <v>109</v>
      </c>
      <c r="CK49" s="46" t="s">
        <v>110</v>
      </c>
      <c r="CL49" s="46" t="s">
        <v>109</v>
      </c>
      <c r="CM49" s="46" t="s">
        <v>109</v>
      </c>
      <c r="CN49" s="46" t="s">
        <v>110</v>
      </c>
      <c r="CO49" s="46" t="s">
        <v>109</v>
      </c>
      <c r="CP49" s="46" t="s">
        <v>109</v>
      </c>
    </row>
    <row r="50" spans="1:94">
      <c r="A50" s="4" t="s">
        <v>265</v>
      </c>
      <c r="B50" s="4">
        <v>5</v>
      </c>
      <c r="C50" s="29">
        <v>40876</v>
      </c>
      <c r="D50" s="29" t="s">
        <v>91</v>
      </c>
      <c r="E50" s="4">
        <v>1989</v>
      </c>
      <c r="F50" s="4" t="s">
        <v>112</v>
      </c>
      <c r="G50" s="4" t="s">
        <v>93</v>
      </c>
      <c r="H50" s="4" t="s">
        <v>94</v>
      </c>
      <c r="I50" s="4" t="s">
        <v>113</v>
      </c>
      <c r="J50" s="45" t="s">
        <v>132</v>
      </c>
      <c r="K50" s="45" t="s">
        <v>97</v>
      </c>
      <c r="L50" s="4" t="s">
        <v>133</v>
      </c>
      <c r="M50" s="4" t="s">
        <v>114</v>
      </c>
      <c r="N50" s="4" t="s">
        <v>149</v>
      </c>
      <c r="O50" s="4">
        <v>5</v>
      </c>
      <c r="P50" s="4">
        <v>0</v>
      </c>
      <c r="Q50" s="4" t="s">
        <v>101</v>
      </c>
      <c r="R50" s="4" t="s">
        <v>276</v>
      </c>
      <c r="S50" s="4" t="s">
        <v>101</v>
      </c>
      <c r="T50" s="4" t="s">
        <v>101</v>
      </c>
      <c r="U50" s="4" t="s">
        <v>101</v>
      </c>
      <c r="V50" s="4">
        <v>2</v>
      </c>
      <c r="W50" s="4">
        <v>2</v>
      </c>
      <c r="X50" s="4">
        <v>2</v>
      </c>
      <c r="Y50" s="4" t="s">
        <v>118</v>
      </c>
      <c r="Z50" s="4" t="s">
        <v>107</v>
      </c>
      <c r="AA50" s="4" t="s">
        <v>217</v>
      </c>
      <c r="AB50" s="4" t="s">
        <v>108</v>
      </c>
      <c r="AC50" s="4" t="s">
        <v>108</v>
      </c>
      <c r="AD50" s="4" t="s">
        <v>101</v>
      </c>
      <c r="AE50" s="4" t="s">
        <v>108</v>
      </c>
      <c r="AF50" s="4" t="s">
        <v>108</v>
      </c>
      <c r="AG50" s="4" t="s">
        <v>217</v>
      </c>
      <c r="AH50" s="4" t="s">
        <v>107</v>
      </c>
      <c r="AI50" s="4" t="s">
        <v>107</v>
      </c>
      <c r="AJ50" s="4" t="s">
        <v>119</v>
      </c>
      <c r="AK50" s="4" t="s">
        <v>108</v>
      </c>
      <c r="AL50" s="4" t="s">
        <v>108</v>
      </c>
      <c r="AM50" s="4" t="s">
        <v>101</v>
      </c>
      <c r="AN50" s="4" t="s">
        <v>108</v>
      </c>
      <c r="AO50" s="4" t="s">
        <v>108</v>
      </c>
      <c r="AP50" s="4" t="s">
        <v>108</v>
      </c>
      <c r="AQ50" s="4" t="s">
        <v>107</v>
      </c>
      <c r="AR50" s="4">
        <v>0</v>
      </c>
      <c r="AS50" s="4">
        <v>0</v>
      </c>
      <c r="AT50" s="4">
        <v>0</v>
      </c>
      <c r="AU50" s="4" t="s">
        <v>101</v>
      </c>
      <c r="AV50" s="4">
        <v>1</v>
      </c>
      <c r="AW50" s="4">
        <v>0</v>
      </c>
      <c r="AX50" s="4">
        <v>0</v>
      </c>
      <c r="AY50" s="4">
        <v>1</v>
      </c>
      <c r="AZ50" s="4">
        <v>0</v>
      </c>
      <c r="BA50" s="4">
        <v>0</v>
      </c>
      <c r="BB50" s="4" t="s">
        <v>101</v>
      </c>
      <c r="BC50" s="4">
        <v>0</v>
      </c>
      <c r="BD50" s="4">
        <v>0</v>
      </c>
      <c r="BE50" s="4">
        <v>1</v>
      </c>
      <c r="BF50" s="4">
        <v>0</v>
      </c>
      <c r="BG50" s="4">
        <v>1</v>
      </c>
      <c r="BH50" s="4" t="s">
        <v>101</v>
      </c>
      <c r="BI50" s="4">
        <v>0</v>
      </c>
      <c r="BJ50" s="4">
        <v>0</v>
      </c>
      <c r="BK50" s="4">
        <v>0</v>
      </c>
      <c r="BL50" s="4">
        <v>0</v>
      </c>
      <c r="BM50" s="4" t="s">
        <v>101</v>
      </c>
      <c r="BN50" s="4">
        <v>0</v>
      </c>
      <c r="BO50" s="4">
        <v>0</v>
      </c>
      <c r="BP50" s="4">
        <v>0</v>
      </c>
      <c r="BQ50" s="4">
        <v>0</v>
      </c>
      <c r="BR50" s="4" t="s">
        <v>101</v>
      </c>
      <c r="BS50" s="4" t="s">
        <v>101</v>
      </c>
      <c r="BT50" s="4" t="s">
        <v>101</v>
      </c>
      <c r="BU50" s="4" t="s">
        <v>101</v>
      </c>
      <c r="BV50" s="4">
        <v>0</v>
      </c>
      <c r="BW50" s="4">
        <v>0</v>
      </c>
      <c r="BX50" s="4">
        <v>1</v>
      </c>
      <c r="BY50" s="4">
        <v>0</v>
      </c>
      <c r="BZ50" s="4">
        <v>0</v>
      </c>
      <c r="CA50" s="4">
        <v>0</v>
      </c>
      <c r="CB50" s="19" t="s">
        <v>111</v>
      </c>
      <c r="CC50" s="19" t="s">
        <v>109</v>
      </c>
      <c r="CD50" s="19" t="s">
        <v>109</v>
      </c>
      <c r="CE50" s="19" t="s">
        <v>109</v>
      </c>
      <c r="CF50" s="19" t="s">
        <v>111</v>
      </c>
      <c r="CG50" s="19" t="s">
        <v>109</v>
      </c>
      <c r="CH50" s="46" t="s">
        <v>110</v>
      </c>
      <c r="CI50" s="46" t="s">
        <v>111</v>
      </c>
      <c r="CJ50" s="46" t="s">
        <v>109</v>
      </c>
      <c r="CK50" s="46" t="s">
        <v>130</v>
      </c>
      <c r="CL50" s="46" t="s">
        <v>111</v>
      </c>
      <c r="CM50" s="46" t="s">
        <v>109</v>
      </c>
      <c r="CN50" s="46" t="s">
        <v>110</v>
      </c>
      <c r="CO50" s="46" t="s">
        <v>111</v>
      </c>
      <c r="CP50" s="46" t="s">
        <v>109</v>
      </c>
    </row>
    <row r="51" spans="1:94">
      <c r="A51" s="4" t="s">
        <v>265</v>
      </c>
      <c r="B51" s="4">
        <v>6</v>
      </c>
      <c r="C51" s="29">
        <v>40876</v>
      </c>
      <c r="D51" s="29" t="s">
        <v>91</v>
      </c>
      <c r="E51" s="4">
        <v>1985</v>
      </c>
      <c r="F51" s="4" t="s">
        <v>112</v>
      </c>
      <c r="G51" s="4" t="s">
        <v>277</v>
      </c>
      <c r="H51" s="4" t="s">
        <v>94</v>
      </c>
      <c r="I51" s="4" t="s">
        <v>113</v>
      </c>
      <c r="J51" s="45" t="s">
        <v>132</v>
      </c>
      <c r="K51" s="45" t="s">
        <v>97</v>
      </c>
      <c r="L51" s="4" t="s">
        <v>99</v>
      </c>
      <c r="M51" s="4" t="s">
        <v>168</v>
      </c>
      <c r="N51" s="4" t="s">
        <v>278</v>
      </c>
      <c r="O51" s="4">
        <v>5</v>
      </c>
      <c r="P51" s="4">
        <v>4</v>
      </c>
      <c r="Q51" s="4" t="s">
        <v>101</v>
      </c>
      <c r="R51" s="4" t="s">
        <v>135</v>
      </c>
      <c r="S51" s="4" t="s">
        <v>101</v>
      </c>
      <c r="T51" s="4" t="s">
        <v>279</v>
      </c>
      <c r="U51" s="4" t="s">
        <v>280</v>
      </c>
      <c r="V51" s="4">
        <v>3</v>
      </c>
      <c r="W51" s="4">
        <v>1</v>
      </c>
      <c r="X51" s="4">
        <v>0</v>
      </c>
      <c r="Y51" s="4" t="s">
        <v>119</v>
      </c>
      <c r="Z51" s="4" t="s">
        <v>108</v>
      </c>
      <c r="AA51" s="4" t="s">
        <v>119</v>
      </c>
      <c r="AB51" s="4" t="s">
        <v>119</v>
      </c>
      <c r="AC51" s="4" t="s">
        <v>108</v>
      </c>
      <c r="AD51" s="4" t="s">
        <v>108</v>
      </c>
      <c r="AE51" s="4" t="s">
        <v>101</v>
      </c>
      <c r="AF51" s="4" t="s">
        <v>119</v>
      </c>
      <c r="AG51" s="4" t="s">
        <v>119</v>
      </c>
      <c r="AH51" s="4" t="s">
        <v>108</v>
      </c>
      <c r="AI51" s="4" t="s">
        <v>108</v>
      </c>
      <c r="AJ51" s="4" t="s">
        <v>119</v>
      </c>
      <c r="AK51" s="4" t="s">
        <v>119</v>
      </c>
      <c r="AL51" s="4" t="s">
        <v>119</v>
      </c>
      <c r="AM51" s="4" t="s">
        <v>108</v>
      </c>
      <c r="AN51" s="4" t="s">
        <v>101</v>
      </c>
      <c r="AO51" s="4" t="s">
        <v>119</v>
      </c>
      <c r="AP51" s="4" t="s">
        <v>119</v>
      </c>
      <c r="AQ51" s="4" t="s">
        <v>108</v>
      </c>
      <c r="AR51" s="4">
        <v>0</v>
      </c>
      <c r="AS51" s="4">
        <v>0</v>
      </c>
      <c r="AT51" s="4">
        <v>0</v>
      </c>
      <c r="AU51" s="4">
        <v>1</v>
      </c>
      <c r="AV51" s="4" t="s">
        <v>101</v>
      </c>
      <c r="AW51" s="4">
        <v>0</v>
      </c>
      <c r="AX51" s="4">
        <v>0</v>
      </c>
      <c r="AY51" s="4">
        <v>1</v>
      </c>
      <c r="AZ51" s="4">
        <v>0</v>
      </c>
      <c r="BA51" s="4">
        <v>0</v>
      </c>
      <c r="BB51" s="4">
        <v>0</v>
      </c>
      <c r="BC51" s="4" t="s">
        <v>101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 t="s">
        <v>101</v>
      </c>
      <c r="BJ51" s="4">
        <v>0</v>
      </c>
      <c r="BK51" s="4">
        <v>1</v>
      </c>
      <c r="BL51" s="4">
        <v>0</v>
      </c>
      <c r="BM51" s="4">
        <v>0</v>
      </c>
      <c r="BN51" s="4" t="s">
        <v>101</v>
      </c>
      <c r="BO51" s="4">
        <v>0</v>
      </c>
      <c r="BP51" s="4">
        <v>0</v>
      </c>
      <c r="BQ51" s="4">
        <v>0</v>
      </c>
      <c r="BR51" s="4" t="s">
        <v>101</v>
      </c>
      <c r="BS51" s="4">
        <v>0</v>
      </c>
      <c r="BT51" s="4">
        <v>0</v>
      </c>
      <c r="BU51" s="4">
        <v>0</v>
      </c>
      <c r="BV51" s="4" t="s">
        <v>101</v>
      </c>
      <c r="BW51" s="4" t="s">
        <v>101</v>
      </c>
      <c r="BX51" s="4" t="s">
        <v>101</v>
      </c>
      <c r="BY51" s="4">
        <v>0</v>
      </c>
      <c r="BZ51" s="4">
        <v>0</v>
      </c>
      <c r="CA51" s="4">
        <v>0</v>
      </c>
      <c r="CB51" s="19" t="s">
        <v>111</v>
      </c>
      <c r="CC51" s="19" t="s">
        <v>109</v>
      </c>
      <c r="CD51" s="19" t="s">
        <v>111</v>
      </c>
      <c r="CE51" s="19" t="s">
        <v>109</v>
      </c>
      <c r="CF51" s="19" t="s">
        <v>111</v>
      </c>
      <c r="CG51" s="19" t="s">
        <v>109</v>
      </c>
      <c r="CH51" s="46" t="s">
        <v>110</v>
      </c>
      <c r="CI51" s="46" t="s">
        <v>109</v>
      </c>
      <c r="CJ51" s="46" t="s">
        <v>111</v>
      </c>
      <c r="CK51" s="46" t="s">
        <v>110</v>
      </c>
      <c r="CL51" s="46" t="s">
        <v>109</v>
      </c>
      <c r="CM51" s="46" t="s">
        <v>111</v>
      </c>
      <c r="CN51" s="46" t="s">
        <v>110</v>
      </c>
      <c r="CO51" s="46" t="s">
        <v>109</v>
      </c>
      <c r="CP51" s="46" t="s">
        <v>111</v>
      </c>
    </row>
    <row r="52" spans="1:94">
      <c r="A52" s="4" t="s">
        <v>265</v>
      </c>
      <c r="B52" s="4">
        <v>7</v>
      </c>
      <c r="C52" s="29">
        <v>40882</v>
      </c>
      <c r="D52" s="29" t="s">
        <v>91</v>
      </c>
      <c r="E52" s="4">
        <v>1990</v>
      </c>
      <c r="F52" s="4" t="s">
        <v>92</v>
      </c>
      <c r="G52" s="4" t="s">
        <v>93</v>
      </c>
      <c r="H52" s="4" t="s">
        <v>121</v>
      </c>
      <c r="I52" s="4" t="s">
        <v>113</v>
      </c>
      <c r="J52" s="45" t="s">
        <v>96</v>
      </c>
      <c r="K52" s="45" t="s">
        <v>97</v>
      </c>
      <c r="L52" s="4" t="s">
        <v>98</v>
      </c>
      <c r="M52" s="4" t="s">
        <v>99</v>
      </c>
      <c r="N52" s="4" t="s">
        <v>105</v>
      </c>
      <c r="O52" s="4">
        <v>6</v>
      </c>
      <c r="P52" s="4">
        <v>2</v>
      </c>
      <c r="Q52" s="4" t="s">
        <v>101</v>
      </c>
      <c r="R52" s="4" t="s">
        <v>281</v>
      </c>
      <c r="S52" s="4" t="s">
        <v>105</v>
      </c>
      <c r="T52" s="4" t="s">
        <v>236</v>
      </c>
      <c r="U52" s="4" t="s">
        <v>105</v>
      </c>
      <c r="V52" s="4">
        <v>1</v>
      </c>
      <c r="W52" s="4">
        <v>1</v>
      </c>
      <c r="X52" s="4">
        <v>0</v>
      </c>
      <c r="Y52" s="4" t="s">
        <v>118</v>
      </c>
      <c r="Z52" s="4" t="s">
        <v>107</v>
      </c>
      <c r="AA52" s="4" t="s">
        <v>217</v>
      </c>
      <c r="AB52" s="4" t="s">
        <v>119</v>
      </c>
      <c r="AC52" s="4" t="s">
        <v>108</v>
      </c>
      <c r="AD52" s="4" t="s">
        <v>107</v>
      </c>
      <c r="AE52" s="4" t="s">
        <v>119</v>
      </c>
      <c r="AF52" s="4" t="s">
        <v>101</v>
      </c>
      <c r="AG52" s="4" t="s">
        <v>217</v>
      </c>
      <c r="AH52" s="4" t="s">
        <v>108</v>
      </c>
      <c r="AI52" s="4" t="s">
        <v>108</v>
      </c>
      <c r="AJ52" s="4" t="s">
        <v>119</v>
      </c>
      <c r="AK52" s="4" t="s">
        <v>119</v>
      </c>
      <c r="AL52" s="4" t="s">
        <v>108</v>
      </c>
      <c r="AM52" s="4" t="s">
        <v>108</v>
      </c>
      <c r="AN52" s="4" t="s">
        <v>119</v>
      </c>
      <c r="AO52" s="4" t="s">
        <v>101</v>
      </c>
      <c r="AP52" s="4" t="s">
        <v>217</v>
      </c>
      <c r="AQ52" s="4" t="s">
        <v>108</v>
      </c>
      <c r="AR52" s="4">
        <v>0</v>
      </c>
      <c r="AS52" s="4">
        <v>0</v>
      </c>
      <c r="AT52" s="4">
        <v>0</v>
      </c>
      <c r="AU52" s="4">
        <v>1</v>
      </c>
      <c r="AV52" s="4">
        <v>1</v>
      </c>
      <c r="AW52" s="4" t="s">
        <v>101</v>
      </c>
      <c r="AX52" s="4">
        <v>0</v>
      </c>
      <c r="AY52" s="4">
        <v>1</v>
      </c>
      <c r="AZ52" s="4">
        <v>1</v>
      </c>
      <c r="BA52" s="4">
        <v>1</v>
      </c>
      <c r="BB52" s="4">
        <v>0</v>
      </c>
      <c r="BC52" s="4">
        <v>0</v>
      </c>
      <c r="BD52" s="4" t="s">
        <v>101</v>
      </c>
      <c r="BE52" s="4">
        <v>1</v>
      </c>
      <c r="BF52" s="4">
        <v>0</v>
      </c>
      <c r="BG52" s="4">
        <v>1</v>
      </c>
      <c r="BH52" s="4">
        <v>0</v>
      </c>
      <c r="BI52" s="4">
        <v>0</v>
      </c>
      <c r="BJ52" s="4" t="s">
        <v>101</v>
      </c>
      <c r="BK52" s="4">
        <v>1</v>
      </c>
      <c r="BL52" s="4">
        <v>0</v>
      </c>
      <c r="BM52" s="4">
        <v>0</v>
      </c>
      <c r="BN52" s="4">
        <v>0</v>
      </c>
      <c r="BO52" s="4" t="s">
        <v>101</v>
      </c>
      <c r="BP52" s="4">
        <v>1</v>
      </c>
      <c r="BQ52" s="4">
        <v>0</v>
      </c>
      <c r="BR52" s="4">
        <v>1</v>
      </c>
      <c r="BS52" s="4" t="s">
        <v>101</v>
      </c>
      <c r="BT52" s="4">
        <v>0</v>
      </c>
      <c r="BU52" s="4">
        <v>1</v>
      </c>
      <c r="BV52" s="4" t="s">
        <v>101</v>
      </c>
      <c r="BW52" s="4">
        <v>0</v>
      </c>
      <c r="BX52" s="4">
        <v>1</v>
      </c>
      <c r="BY52" s="4" t="s">
        <v>101</v>
      </c>
      <c r="BZ52" s="4" t="s">
        <v>101</v>
      </c>
      <c r="CA52" s="4">
        <v>0</v>
      </c>
      <c r="CB52" s="19" t="s">
        <v>109</v>
      </c>
      <c r="CC52" s="19" t="s">
        <v>109</v>
      </c>
      <c r="CD52" s="19" t="s">
        <v>109</v>
      </c>
      <c r="CE52" s="19" t="s">
        <v>109</v>
      </c>
      <c r="CF52" s="19" t="s">
        <v>111</v>
      </c>
      <c r="CG52" s="19" t="s">
        <v>109</v>
      </c>
      <c r="CH52" s="46" t="s">
        <v>130</v>
      </c>
      <c r="CI52" s="46" t="s">
        <v>111</v>
      </c>
      <c r="CJ52" s="46" t="s">
        <v>109</v>
      </c>
      <c r="CK52" s="46" t="s">
        <v>130</v>
      </c>
      <c r="CL52" s="46" t="s">
        <v>111</v>
      </c>
      <c r="CM52" s="46" t="s">
        <v>111</v>
      </c>
      <c r="CN52" s="46" t="s">
        <v>110</v>
      </c>
      <c r="CO52" s="46" t="s">
        <v>111</v>
      </c>
      <c r="CP52" s="46" t="s">
        <v>111</v>
      </c>
    </row>
    <row r="53" spans="1:94">
      <c r="A53" s="4" t="s">
        <v>265</v>
      </c>
      <c r="B53" s="4">
        <v>8</v>
      </c>
      <c r="C53" s="29">
        <v>40876</v>
      </c>
      <c r="D53" s="29" t="s">
        <v>91</v>
      </c>
      <c r="E53" s="4">
        <v>1993</v>
      </c>
      <c r="F53" s="4" t="s">
        <v>92</v>
      </c>
      <c r="G53" s="4" t="s">
        <v>93</v>
      </c>
      <c r="H53" s="4" t="s">
        <v>94</v>
      </c>
      <c r="I53" s="4" t="s">
        <v>166</v>
      </c>
      <c r="J53" s="45" t="s">
        <v>96</v>
      </c>
      <c r="K53" s="45" t="s">
        <v>122</v>
      </c>
      <c r="L53" s="4" t="s">
        <v>98</v>
      </c>
      <c r="M53" s="4" t="s">
        <v>228</v>
      </c>
      <c r="N53" s="4" t="s">
        <v>156</v>
      </c>
      <c r="O53" s="4">
        <v>4</v>
      </c>
      <c r="P53" s="4">
        <v>1</v>
      </c>
      <c r="Q53" s="4" t="s">
        <v>101</v>
      </c>
      <c r="R53" s="4" t="s">
        <v>282</v>
      </c>
      <c r="S53" s="4" t="s">
        <v>283</v>
      </c>
      <c r="T53" s="4" t="s">
        <v>284</v>
      </c>
      <c r="U53" s="4" t="s">
        <v>285</v>
      </c>
      <c r="V53" s="4">
        <v>0</v>
      </c>
      <c r="W53" s="4">
        <v>0</v>
      </c>
      <c r="X53" s="4">
        <v>1</v>
      </c>
      <c r="Y53" s="4" t="s">
        <v>119</v>
      </c>
      <c r="Z53" s="4" t="s">
        <v>108</v>
      </c>
      <c r="AA53" s="4" t="s">
        <v>108</v>
      </c>
      <c r="AB53" s="4" t="s">
        <v>107</v>
      </c>
      <c r="AC53" s="4" t="s">
        <v>107</v>
      </c>
      <c r="AD53" s="4" t="s">
        <v>108</v>
      </c>
      <c r="AE53" s="4" t="s">
        <v>119</v>
      </c>
      <c r="AF53" s="4" t="s">
        <v>108</v>
      </c>
      <c r="AG53" s="4" t="s">
        <v>101</v>
      </c>
      <c r="AH53" s="4" t="s">
        <v>108</v>
      </c>
      <c r="AI53" s="4" t="s">
        <v>119</v>
      </c>
      <c r="AJ53" s="4" t="s">
        <v>108</v>
      </c>
      <c r="AK53" s="4" t="s">
        <v>107</v>
      </c>
      <c r="AL53" s="4" t="s">
        <v>107</v>
      </c>
      <c r="AM53" s="4" t="s">
        <v>108</v>
      </c>
      <c r="AN53" s="4" t="s">
        <v>119</v>
      </c>
      <c r="AO53" s="4" t="s">
        <v>108</v>
      </c>
      <c r="AP53" s="4" t="s">
        <v>101</v>
      </c>
      <c r="AQ53" s="4" t="s">
        <v>119</v>
      </c>
      <c r="AR53" s="4">
        <v>0</v>
      </c>
      <c r="AS53" s="4">
        <v>0</v>
      </c>
      <c r="AT53" s="4">
        <v>0</v>
      </c>
      <c r="AU53" s="4">
        <v>1</v>
      </c>
      <c r="AV53" s="4">
        <v>0</v>
      </c>
      <c r="AW53" s="4">
        <v>1</v>
      </c>
      <c r="AX53" s="4" t="s">
        <v>101</v>
      </c>
      <c r="AY53" s="4">
        <v>1</v>
      </c>
      <c r="AZ53" s="4">
        <v>0</v>
      </c>
      <c r="BA53" s="4">
        <v>1</v>
      </c>
      <c r="BB53" s="4">
        <v>0</v>
      </c>
      <c r="BC53" s="4">
        <v>0</v>
      </c>
      <c r="BD53" s="4">
        <v>0</v>
      </c>
      <c r="BE53" s="4" t="s">
        <v>286</v>
      </c>
      <c r="BF53" s="4">
        <v>0</v>
      </c>
      <c r="BG53" s="4">
        <v>1</v>
      </c>
      <c r="BH53" s="4">
        <v>0</v>
      </c>
      <c r="BI53" s="4">
        <v>0</v>
      </c>
      <c r="BJ53" s="4">
        <v>0</v>
      </c>
      <c r="BK53" s="4" t="s">
        <v>101</v>
      </c>
      <c r="BL53" s="4">
        <v>0</v>
      </c>
      <c r="BM53" s="4">
        <v>0</v>
      </c>
      <c r="BN53" s="4">
        <v>0</v>
      </c>
      <c r="BO53" s="4">
        <v>0</v>
      </c>
      <c r="BP53" s="4" t="s">
        <v>101</v>
      </c>
      <c r="BQ53" s="4">
        <v>0</v>
      </c>
      <c r="BR53" s="4">
        <v>0</v>
      </c>
      <c r="BS53" s="4">
        <v>0</v>
      </c>
      <c r="BT53" s="4" t="s">
        <v>101</v>
      </c>
      <c r="BU53" s="4">
        <v>1</v>
      </c>
      <c r="BV53" s="4">
        <v>0</v>
      </c>
      <c r="BW53" s="4" t="s">
        <v>101</v>
      </c>
      <c r="BX53" s="4">
        <v>1</v>
      </c>
      <c r="BY53" s="4">
        <v>0</v>
      </c>
      <c r="BZ53" s="4">
        <v>0</v>
      </c>
      <c r="CA53" s="4">
        <v>0</v>
      </c>
      <c r="CB53" s="19" t="s">
        <v>109</v>
      </c>
      <c r="CC53" s="19" t="s">
        <v>109</v>
      </c>
      <c r="CD53" s="19" t="s">
        <v>109</v>
      </c>
      <c r="CE53" s="19" t="s">
        <v>109</v>
      </c>
      <c r="CF53" s="19" t="s">
        <v>109</v>
      </c>
      <c r="CG53" s="19" t="s">
        <v>109</v>
      </c>
      <c r="CH53" s="46" t="s">
        <v>110</v>
      </c>
      <c r="CI53" s="46" t="s">
        <v>109</v>
      </c>
      <c r="CJ53" s="46" t="s">
        <v>109</v>
      </c>
      <c r="CK53" s="46" t="s">
        <v>130</v>
      </c>
      <c r="CL53" s="46" t="s">
        <v>109</v>
      </c>
      <c r="CM53" s="46" t="s">
        <v>111</v>
      </c>
      <c r="CN53" s="46" t="s">
        <v>110</v>
      </c>
      <c r="CO53" s="46" t="s">
        <v>111</v>
      </c>
      <c r="CP53" s="46" t="s">
        <v>111</v>
      </c>
    </row>
    <row r="54" spans="1:94">
      <c r="A54" s="4" t="s">
        <v>265</v>
      </c>
      <c r="B54" s="4">
        <v>9</v>
      </c>
      <c r="C54" s="29">
        <v>40876</v>
      </c>
      <c r="D54" s="29" t="s">
        <v>91</v>
      </c>
      <c r="E54" s="4">
        <v>1987</v>
      </c>
      <c r="F54" s="4" t="s">
        <v>112</v>
      </c>
      <c r="G54" s="4" t="s">
        <v>93</v>
      </c>
      <c r="H54" s="4" t="s">
        <v>94</v>
      </c>
      <c r="I54" s="4" t="s">
        <v>95</v>
      </c>
      <c r="J54" s="45" t="s">
        <v>96</v>
      </c>
      <c r="K54" s="45" t="s">
        <v>97</v>
      </c>
      <c r="L54" s="4" t="s">
        <v>98</v>
      </c>
      <c r="M54" s="4" t="s">
        <v>114</v>
      </c>
      <c r="N54" s="4" t="s">
        <v>287</v>
      </c>
      <c r="O54" s="4">
        <v>6</v>
      </c>
      <c r="P54" s="4">
        <v>4</v>
      </c>
      <c r="Q54" s="4" t="s">
        <v>101</v>
      </c>
      <c r="R54" s="4" t="s">
        <v>150</v>
      </c>
      <c r="S54" s="4" t="s">
        <v>199</v>
      </c>
      <c r="T54" s="4" t="s">
        <v>288</v>
      </c>
      <c r="U54" s="4" t="s">
        <v>101</v>
      </c>
      <c r="V54" s="4">
        <v>6</v>
      </c>
      <c r="W54" s="4">
        <v>1</v>
      </c>
      <c r="X54" s="4">
        <v>2</v>
      </c>
      <c r="Y54" s="4" t="s">
        <v>119</v>
      </c>
      <c r="Z54" s="4" t="s">
        <v>107</v>
      </c>
      <c r="AA54" s="4" t="s">
        <v>217</v>
      </c>
      <c r="AB54" s="4" t="s">
        <v>108</v>
      </c>
      <c r="AC54" s="4" t="s">
        <v>108</v>
      </c>
      <c r="AD54" s="4" t="s">
        <v>107</v>
      </c>
      <c r="AE54" s="4" t="s">
        <v>108</v>
      </c>
      <c r="AF54" s="4" t="s">
        <v>108</v>
      </c>
      <c r="AG54" s="4" t="s">
        <v>217</v>
      </c>
      <c r="AH54" s="4" t="s">
        <v>101</v>
      </c>
      <c r="AI54" s="4" t="s">
        <v>107</v>
      </c>
      <c r="AJ54" s="4" t="s">
        <v>119</v>
      </c>
      <c r="AK54" s="4" t="s">
        <v>119</v>
      </c>
      <c r="AL54" s="4" t="s">
        <v>119</v>
      </c>
      <c r="AM54" s="4" t="s">
        <v>108</v>
      </c>
      <c r="AN54" s="4" t="s">
        <v>108</v>
      </c>
      <c r="AO54" s="4" t="s">
        <v>119</v>
      </c>
      <c r="AP54" s="4" t="s">
        <v>119</v>
      </c>
      <c r="AQ54" s="4" t="s">
        <v>101</v>
      </c>
      <c r="AR54" s="4">
        <v>0</v>
      </c>
      <c r="AS54" s="4">
        <v>0</v>
      </c>
      <c r="AT54" s="4">
        <v>0</v>
      </c>
      <c r="AU54" s="4">
        <v>1</v>
      </c>
      <c r="AV54" s="4">
        <v>0</v>
      </c>
      <c r="AW54" s="4">
        <v>0</v>
      </c>
      <c r="AX54" s="4">
        <v>0</v>
      </c>
      <c r="AY54" s="4" t="s">
        <v>101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 t="s">
        <v>101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 t="s">
        <v>101</v>
      </c>
      <c r="BM54" s="4">
        <v>0</v>
      </c>
      <c r="BN54" s="4">
        <v>0</v>
      </c>
      <c r="BO54" s="4">
        <v>0</v>
      </c>
      <c r="BP54" s="4">
        <v>0</v>
      </c>
      <c r="BQ54" s="4" t="s">
        <v>101</v>
      </c>
      <c r="BR54" s="4">
        <v>0</v>
      </c>
      <c r="BS54" s="4">
        <v>0</v>
      </c>
      <c r="BT54" s="4">
        <v>0</v>
      </c>
      <c r="BU54" s="4" t="s">
        <v>101</v>
      </c>
      <c r="BV54" s="4">
        <v>0</v>
      </c>
      <c r="BW54" s="4">
        <v>0</v>
      </c>
      <c r="BX54" s="4" t="s">
        <v>101</v>
      </c>
      <c r="BY54" s="4">
        <v>0</v>
      </c>
      <c r="BZ54" s="4" t="s">
        <v>101</v>
      </c>
      <c r="CA54" s="4" t="s">
        <v>101</v>
      </c>
      <c r="CB54" s="19" t="s">
        <v>111</v>
      </c>
      <c r="CC54" s="19" t="s">
        <v>109</v>
      </c>
      <c r="CD54" s="19" t="s">
        <v>111</v>
      </c>
      <c r="CE54" s="19" t="s">
        <v>109</v>
      </c>
      <c r="CF54" s="19" t="s">
        <v>111</v>
      </c>
      <c r="CG54" s="19" t="s">
        <v>109</v>
      </c>
      <c r="CH54" s="46" t="s">
        <v>130</v>
      </c>
      <c r="CI54" s="46" t="s">
        <v>111</v>
      </c>
      <c r="CJ54" s="46" t="s">
        <v>109</v>
      </c>
      <c r="CK54" s="46" t="s">
        <v>130</v>
      </c>
      <c r="CL54" s="46" t="s">
        <v>111</v>
      </c>
      <c r="CM54" s="46" t="s">
        <v>109</v>
      </c>
      <c r="CN54" s="46" t="s">
        <v>130</v>
      </c>
      <c r="CO54" s="46" t="s">
        <v>111</v>
      </c>
      <c r="CP54" s="46" t="s">
        <v>109</v>
      </c>
    </row>
    <row r="55" spans="1:94">
      <c r="A55" s="4" t="s">
        <v>289</v>
      </c>
      <c r="B55" s="4">
        <v>1</v>
      </c>
      <c r="C55" s="29">
        <v>40876</v>
      </c>
      <c r="D55" s="29" t="s">
        <v>91</v>
      </c>
      <c r="E55" s="4">
        <v>1988</v>
      </c>
      <c r="F55" s="4" t="s">
        <v>143</v>
      </c>
      <c r="G55" s="4" t="s">
        <v>93</v>
      </c>
      <c r="H55" s="4" t="s">
        <v>121</v>
      </c>
      <c r="I55" s="4" t="s">
        <v>113</v>
      </c>
      <c r="J55" s="4" t="s">
        <v>158</v>
      </c>
      <c r="K55" s="45" t="s">
        <v>97</v>
      </c>
      <c r="L55" s="4" t="s">
        <v>98</v>
      </c>
      <c r="M55" s="4" t="s">
        <v>114</v>
      </c>
      <c r="N55" s="4" t="s">
        <v>290</v>
      </c>
      <c r="O55" s="4">
        <v>11</v>
      </c>
      <c r="P55" s="4">
        <v>0</v>
      </c>
      <c r="Q55" s="4" t="s">
        <v>291</v>
      </c>
      <c r="R55" s="4" t="s">
        <v>220</v>
      </c>
      <c r="S55" s="4" t="s">
        <v>199</v>
      </c>
      <c r="T55" s="4" t="s">
        <v>230</v>
      </c>
      <c r="U55" s="4" t="s">
        <v>105</v>
      </c>
      <c r="V55" s="4">
        <v>11</v>
      </c>
      <c r="W55" s="4">
        <v>0</v>
      </c>
      <c r="X55" s="4">
        <v>0</v>
      </c>
      <c r="Y55" s="4" t="s">
        <v>119</v>
      </c>
      <c r="Z55" s="4" t="s">
        <v>101</v>
      </c>
      <c r="AA55" s="4" t="s">
        <v>119</v>
      </c>
      <c r="AB55" s="4" t="s">
        <v>119</v>
      </c>
      <c r="AC55" s="4" t="s">
        <v>108</v>
      </c>
      <c r="AD55" s="4" t="s">
        <v>108</v>
      </c>
      <c r="AE55" s="4" t="s">
        <v>108</v>
      </c>
      <c r="AF55" s="4" t="s">
        <v>119</v>
      </c>
      <c r="AG55" s="4" t="s">
        <v>101</v>
      </c>
      <c r="AH55" s="4" t="s">
        <v>101</v>
      </c>
      <c r="AI55" s="4" t="s">
        <v>101</v>
      </c>
      <c r="AJ55" s="4" t="s">
        <v>108</v>
      </c>
      <c r="AK55" s="4" t="s">
        <v>119</v>
      </c>
      <c r="AL55" s="4" t="s">
        <v>119</v>
      </c>
      <c r="AM55" s="4" t="s">
        <v>108</v>
      </c>
      <c r="AN55" s="4" t="s">
        <v>119</v>
      </c>
      <c r="AO55" s="4" t="s">
        <v>108</v>
      </c>
      <c r="AP55" s="4" t="s">
        <v>108</v>
      </c>
      <c r="AQ55" s="4" t="s">
        <v>101</v>
      </c>
      <c r="AR55" s="4" t="s">
        <v>101</v>
      </c>
      <c r="AS55" s="4" t="s">
        <v>101</v>
      </c>
      <c r="AT55" s="4" t="s">
        <v>101</v>
      </c>
      <c r="AU55" s="4" t="s">
        <v>101</v>
      </c>
      <c r="AV55" s="4" t="s">
        <v>101</v>
      </c>
      <c r="AW55" s="4" t="s">
        <v>101</v>
      </c>
      <c r="AX55" s="4" t="s">
        <v>101</v>
      </c>
      <c r="AY55" s="4" t="s">
        <v>101</v>
      </c>
      <c r="AZ55" s="4">
        <v>0</v>
      </c>
      <c r="BA55" s="4">
        <v>1</v>
      </c>
      <c r="BB55" s="4">
        <v>0</v>
      </c>
      <c r="BC55" s="4">
        <v>1</v>
      </c>
      <c r="BD55" s="4">
        <v>1</v>
      </c>
      <c r="BE55" s="4">
        <v>1</v>
      </c>
      <c r="BF55" s="4" t="s">
        <v>101</v>
      </c>
      <c r="BG55" s="4">
        <v>1</v>
      </c>
      <c r="BH55" s="4">
        <v>0</v>
      </c>
      <c r="BI55" s="4">
        <v>0</v>
      </c>
      <c r="BJ55" s="4">
        <v>1</v>
      </c>
      <c r="BK55" s="4">
        <v>1</v>
      </c>
      <c r="BL55" s="4" t="s">
        <v>101</v>
      </c>
      <c r="BM55" s="4">
        <v>1</v>
      </c>
      <c r="BN55" s="4">
        <v>1</v>
      </c>
      <c r="BO55" s="4">
        <v>0</v>
      </c>
      <c r="BP55" s="4">
        <v>1</v>
      </c>
      <c r="BQ55" s="4" t="s">
        <v>101</v>
      </c>
      <c r="BR55" s="4">
        <v>1</v>
      </c>
      <c r="BS55" s="4">
        <v>0</v>
      </c>
      <c r="BT55" s="4">
        <v>1</v>
      </c>
      <c r="BU55" s="4" t="s">
        <v>101</v>
      </c>
      <c r="BV55" s="4">
        <v>0</v>
      </c>
      <c r="BW55" s="4">
        <v>1</v>
      </c>
      <c r="BX55" s="4" t="s">
        <v>101</v>
      </c>
      <c r="BY55" s="4">
        <v>1</v>
      </c>
      <c r="BZ55" s="4" t="s">
        <v>101</v>
      </c>
      <c r="CA55" s="4" t="s">
        <v>101</v>
      </c>
      <c r="CB55" s="19" t="s">
        <v>111</v>
      </c>
      <c r="CC55" s="19" t="s">
        <v>109</v>
      </c>
      <c r="CD55" s="19" t="s">
        <v>111</v>
      </c>
      <c r="CE55" s="19" t="s">
        <v>109</v>
      </c>
      <c r="CF55" s="19" t="s">
        <v>111</v>
      </c>
      <c r="CG55" s="19" t="s">
        <v>109</v>
      </c>
      <c r="CH55" s="46" t="s">
        <v>130</v>
      </c>
      <c r="CI55" s="46" t="s">
        <v>111</v>
      </c>
      <c r="CJ55" s="46" t="s">
        <v>109</v>
      </c>
      <c r="CK55" s="46" t="s">
        <v>130</v>
      </c>
      <c r="CL55" s="46" t="s">
        <v>111</v>
      </c>
      <c r="CM55" s="46" t="s">
        <v>109</v>
      </c>
      <c r="CN55" s="46" t="s">
        <v>130</v>
      </c>
      <c r="CO55" s="46" t="s">
        <v>111</v>
      </c>
      <c r="CP55" s="46" t="s">
        <v>109</v>
      </c>
    </row>
    <row r="56" spans="1:94">
      <c r="A56" s="4" t="s">
        <v>289</v>
      </c>
      <c r="B56" s="4">
        <v>2</v>
      </c>
      <c r="C56" s="29">
        <v>40883</v>
      </c>
      <c r="D56" s="29" t="s">
        <v>91</v>
      </c>
      <c r="E56" s="4">
        <v>1989</v>
      </c>
      <c r="F56" s="4" t="s">
        <v>138</v>
      </c>
      <c r="G56" s="4" t="s">
        <v>93</v>
      </c>
      <c r="H56" s="4" t="s">
        <v>94</v>
      </c>
      <c r="I56" s="4" t="s">
        <v>166</v>
      </c>
      <c r="J56" s="45" t="s">
        <v>132</v>
      </c>
      <c r="K56" s="45" t="s">
        <v>122</v>
      </c>
      <c r="L56" s="4" t="s">
        <v>133</v>
      </c>
      <c r="M56" s="4" t="s">
        <v>99</v>
      </c>
      <c r="N56" s="4" t="s">
        <v>292</v>
      </c>
      <c r="O56" s="4">
        <v>4</v>
      </c>
      <c r="P56" s="4">
        <v>2</v>
      </c>
      <c r="Q56" s="4" t="s">
        <v>101</v>
      </c>
      <c r="R56" s="4" t="s">
        <v>293</v>
      </c>
      <c r="S56" s="4" t="s">
        <v>101</v>
      </c>
      <c r="T56" s="4" t="s">
        <v>101</v>
      </c>
      <c r="U56" s="4" t="s">
        <v>233</v>
      </c>
      <c r="V56" s="4">
        <v>1</v>
      </c>
      <c r="W56" s="4">
        <v>1</v>
      </c>
      <c r="X56" s="4">
        <v>6</v>
      </c>
      <c r="Y56" s="4" t="s">
        <v>119</v>
      </c>
      <c r="Z56" s="4" t="s">
        <v>107</v>
      </c>
      <c r="AA56" s="4" t="s">
        <v>101</v>
      </c>
      <c r="AB56" s="4" t="s">
        <v>107</v>
      </c>
      <c r="AC56" s="4" t="s">
        <v>107</v>
      </c>
      <c r="AD56" s="4" t="s">
        <v>107</v>
      </c>
      <c r="AE56" s="4" t="s">
        <v>107</v>
      </c>
      <c r="AF56" s="4" t="s">
        <v>107</v>
      </c>
      <c r="AG56" s="4" t="s">
        <v>107</v>
      </c>
      <c r="AH56" s="4" t="s">
        <v>101</v>
      </c>
      <c r="AI56" s="4" t="s">
        <v>119</v>
      </c>
      <c r="AJ56" s="4" t="s">
        <v>101</v>
      </c>
      <c r="AK56" s="4" t="s">
        <v>108</v>
      </c>
      <c r="AL56" s="4" t="s">
        <v>108</v>
      </c>
      <c r="AM56" s="4" t="s">
        <v>119</v>
      </c>
      <c r="AN56" s="4" t="s">
        <v>119</v>
      </c>
      <c r="AO56" s="4" t="s">
        <v>119</v>
      </c>
      <c r="AP56" s="4" t="s">
        <v>108</v>
      </c>
      <c r="AQ56" s="4" t="s">
        <v>101</v>
      </c>
      <c r="AR56" s="4" t="s">
        <v>101</v>
      </c>
      <c r="AS56" s="4">
        <v>0</v>
      </c>
      <c r="AT56" s="4">
        <v>0</v>
      </c>
      <c r="AU56" s="4">
        <v>0</v>
      </c>
      <c r="AV56" s="4">
        <v>0</v>
      </c>
      <c r="AW56" s="4">
        <v>1</v>
      </c>
      <c r="AX56" s="4">
        <v>0</v>
      </c>
      <c r="AY56" s="4" t="s">
        <v>101</v>
      </c>
      <c r="AZ56" s="4" t="s">
        <v>101</v>
      </c>
      <c r="BA56" s="4" t="s">
        <v>101</v>
      </c>
      <c r="BB56" s="4" t="s">
        <v>101</v>
      </c>
      <c r="BC56" s="4" t="s">
        <v>101</v>
      </c>
      <c r="BD56" s="4" t="s">
        <v>101</v>
      </c>
      <c r="BE56" s="4" t="s">
        <v>101</v>
      </c>
      <c r="BF56" s="4" t="s">
        <v>101</v>
      </c>
      <c r="BG56" s="4">
        <v>1</v>
      </c>
      <c r="BH56" s="4">
        <v>1</v>
      </c>
      <c r="BI56" s="4">
        <v>1</v>
      </c>
      <c r="BJ56" s="4">
        <v>0</v>
      </c>
      <c r="BK56" s="4">
        <v>1</v>
      </c>
      <c r="BL56" s="4" t="s">
        <v>101</v>
      </c>
      <c r="BM56" s="4">
        <v>0</v>
      </c>
      <c r="BN56" s="4">
        <v>1</v>
      </c>
      <c r="BO56" s="4">
        <v>0</v>
      </c>
      <c r="BP56" s="4">
        <v>0</v>
      </c>
      <c r="BQ56" s="4" t="s">
        <v>101</v>
      </c>
      <c r="BR56" s="4">
        <v>1</v>
      </c>
      <c r="BS56" s="4">
        <v>0</v>
      </c>
      <c r="BT56" s="4">
        <v>0</v>
      </c>
      <c r="BU56" s="4" t="s">
        <v>101</v>
      </c>
      <c r="BV56" s="4">
        <v>0</v>
      </c>
      <c r="BW56" s="4">
        <v>0</v>
      </c>
      <c r="BX56" s="4" t="s">
        <v>101</v>
      </c>
      <c r="BY56" s="4">
        <v>1</v>
      </c>
      <c r="BZ56" s="4" t="s">
        <v>101</v>
      </c>
      <c r="CA56" s="4" t="s">
        <v>101</v>
      </c>
      <c r="CB56" s="19" t="s">
        <v>109</v>
      </c>
      <c r="CC56" s="19" t="s">
        <v>111</v>
      </c>
      <c r="CD56" s="19" t="s">
        <v>109</v>
      </c>
      <c r="CE56" s="19" t="s">
        <v>109</v>
      </c>
      <c r="CF56" s="19" t="s">
        <v>109</v>
      </c>
      <c r="CG56" s="19" t="s">
        <v>109</v>
      </c>
      <c r="CH56" s="46" t="s">
        <v>130</v>
      </c>
      <c r="CI56" s="46" t="s">
        <v>109</v>
      </c>
      <c r="CJ56" s="46" t="s">
        <v>109</v>
      </c>
      <c r="CK56" s="46" t="s">
        <v>130</v>
      </c>
      <c r="CL56" s="46" t="s">
        <v>109</v>
      </c>
      <c r="CM56" s="46" t="s">
        <v>111</v>
      </c>
      <c r="CN56" s="46" t="s">
        <v>130</v>
      </c>
      <c r="CO56" s="46" t="s">
        <v>109</v>
      </c>
      <c r="CP56" s="46" t="s">
        <v>111</v>
      </c>
    </row>
    <row r="57" spans="1:94">
      <c r="A57" s="4" t="s">
        <v>289</v>
      </c>
      <c r="B57" s="4">
        <v>3</v>
      </c>
      <c r="C57" s="29">
        <v>40876</v>
      </c>
      <c r="D57" s="29" t="s">
        <v>91</v>
      </c>
      <c r="E57" s="4">
        <v>1989</v>
      </c>
      <c r="F57" s="4" t="s">
        <v>138</v>
      </c>
      <c r="G57" s="4" t="s">
        <v>294</v>
      </c>
      <c r="H57" s="4" t="s">
        <v>94</v>
      </c>
      <c r="I57" s="4" t="s">
        <v>95</v>
      </c>
      <c r="J57" s="45" t="s">
        <v>132</v>
      </c>
      <c r="K57" s="45" t="s">
        <v>97</v>
      </c>
      <c r="L57" s="4" t="s">
        <v>98</v>
      </c>
      <c r="M57" s="4" t="s">
        <v>114</v>
      </c>
      <c r="N57" s="4" t="s">
        <v>295</v>
      </c>
      <c r="O57" s="4">
        <v>5</v>
      </c>
      <c r="P57" s="4">
        <v>2</v>
      </c>
      <c r="Q57" s="4" t="s">
        <v>296</v>
      </c>
      <c r="R57" s="4" t="s">
        <v>297</v>
      </c>
      <c r="S57" s="4" t="s">
        <v>101</v>
      </c>
      <c r="T57" s="4" t="s">
        <v>101</v>
      </c>
      <c r="U57" s="4" t="s">
        <v>101</v>
      </c>
      <c r="V57" s="4">
        <v>0</v>
      </c>
      <c r="W57" s="4">
        <v>0</v>
      </c>
      <c r="X57" s="4">
        <v>5</v>
      </c>
      <c r="Y57" s="4" t="s">
        <v>118</v>
      </c>
      <c r="Z57" s="4" t="s">
        <v>108</v>
      </c>
      <c r="AA57" s="4" t="s">
        <v>108</v>
      </c>
      <c r="AB57" s="4" t="s">
        <v>101</v>
      </c>
      <c r="AC57" s="4" t="s">
        <v>108</v>
      </c>
      <c r="AD57" s="4" t="s">
        <v>108</v>
      </c>
      <c r="AE57" s="4" t="s">
        <v>107</v>
      </c>
      <c r="AF57" s="4" t="s">
        <v>107</v>
      </c>
      <c r="AG57" s="4" t="s">
        <v>107</v>
      </c>
      <c r="AH57" s="4" t="s">
        <v>101</v>
      </c>
      <c r="AI57" s="4" t="s">
        <v>108</v>
      </c>
      <c r="AJ57" s="4" t="s">
        <v>108</v>
      </c>
      <c r="AK57" s="4" t="s">
        <v>101</v>
      </c>
      <c r="AL57" s="4" t="s">
        <v>108</v>
      </c>
      <c r="AM57" s="4" t="s">
        <v>108</v>
      </c>
      <c r="AN57" s="4" t="s">
        <v>107</v>
      </c>
      <c r="AO57" s="4" t="s">
        <v>107</v>
      </c>
      <c r="AP57" s="4" t="s">
        <v>107</v>
      </c>
      <c r="AQ57" s="4" t="s">
        <v>101</v>
      </c>
      <c r="AR57" s="4">
        <v>1</v>
      </c>
      <c r="AS57" s="4" t="s">
        <v>101</v>
      </c>
      <c r="AT57" s="4">
        <v>1</v>
      </c>
      <c r="AU57" s="4">
        <v>1</v>
      </c>
      <c r="AV57" s="4">
        <v>1</v>
      </c>
      <c r="AW57" s="4">
        <v>1</v>
      </c>
      <c r="AX57" s="4">
        <v>1</v>
      </c>
      <c r="AY57" s="4" t="s">
        <v>101</v>
      </c>
      <c r="AZ57" s="4" t="s">
        <v>101</v>
      </c>
      <c r="BA57" s="4">
        <v>1</v>
      </c>
      <c r="BB57" s="4">
        <v>1</v>
      </c>
      <c r="BC57" s="4">
        <v>1</v>
      </c>
      <c r="BD57" s="4">
        <v>1</v>
      </c>
      <c r="BE57" s="4">
        <v>1</v>
      </c>
      <c r="BF57" s="4" t="s">
        <v>101</v>
      </c>
      <c r="BG57" s="4" t="s">
        <v>101</v>
      </c>
      <c r="BH57" s="4" t="s">
        <v>101</v>
      </c>
      <c r="BI57" s="4" t="s">
        <v>101</v>
      </c>
      <c r="BJ57" s="4" t="s">
        <v>101</v>
      </c>
      <c r="BK57" s="4" t="s">
        <v>101</v>
      </c>
      <c r="BL57" s="4" t="s">
        <v>101</v>
      </c>
      <c r="BM57" s="4">
        <v>1</v>
      </c>
      <c r="BN57" s="4">
        <v>1</v>
      </c>
      <c r="BO57" s="4">
        <v>1</v>
      </c>
      <c r="BP57" s="4">
        <v>1</v>
      </c>
      <c r="BQ57" s="4" t="s">
        <v>101</v>
      </c>
      <c r="BR57" s="4">
        <v>1</v>
      </c>
      <c r="BS57" s="4">
        <v>1</v>
      </c>
      <c r="BT57" s="4">
        <v>1</v>
      </c>
      <c r="BU57" s="4" t="s">
        <v>101</v>
      </c>
      <c r="BV57" s="4">
        <v>1</v>
      </c>
      <c r="BW57" s="4">
        <v>1</v>
      </c>
      <c r="BX57" s="4" t="s">
        <v>101</v>
      </c>
      <c r="BY57" s="4">
        <v>1</v>
      </c>
      <c r="BZ57" s="4" t="s">
        <v>101</v>
      </c>
      <c r="CA57" s="4" t="s">
        <v>101</v>
      </c>
      <c r="CB57" s="19" t="s">
        <v>109</v>
      </c>
      <c r="CC57" s="19" t="s">
        <v>109</v>
      </c>
      <c r="CD57" s="19" t="s">
        <v>109</v>
      </c>
      <c r="CE57" s="19" t="s">
        <v>109</v>
      </c>
      <c r="CF57" s="19" t="s">
        <v>109</v>
      </c>
      <c r="CG57" s="19" t="s">
        <v>109</v>
      </c>
      <c r="CH57" s="46" t="s">
        <v>130</v>
      </c>
      <c r="CI57" s="46" t="s">
        <v>109</v>
      </c>
      <c r="CJ57" s="46" t="s">
        <v>109</v>
      </c>
      <c r="CK57" s="46" t="s">
        <v>130</v>
      </c>
      <c r="CL57" s="46" t="s">
        <v>109</v>
      </c>
      <c r="CM57" s="46" t="s">
        <v>109</v>
      </c>
      <c r="CN57" s="46" t="s">
        <v>130</v>
      </c>
      <c r="CO57" s="46" t="s">
        <v>109</v>
      </c>
      <c r="CP57" s="46" t="s">
        <v>109</v>
      </c>
    </row>
    <row r="58" spans="1:94">
      <c r="A58" s="4" t="s">
        <v>289</v>
      </c>
      <c r="B58" s="4">
        <v>4</v>
      </c>
      <c r="C58" s="29">
        <v>40876</v>
      </c>
      <c r="D58" s="29" t="s">
        <v>91</v>
      </c>
      <c r="E58" s="4">
        <v>1992</v>
      </c>
      <c r="F58" s="4" t="s">
        <v>138</v>
      </c>
      <c r="G58" s="4" t="s">
        <v>93</v>
      </c>
      <c r="H58" s="4" t="s">
        <v>94</v>
      </c>
      <c r="I58" s="4" t="s">
        <v>95</v>
      </c>
      <c r="J58" s="4" t="s">
        <v>158</v>
      </c>
      <c r="K58" s="45" t="s">
        <v>122</v>
      </c>
      <c r="L58" s="4" t="s">
        <v>99</v>
      </c>
      <c r="M58" s="4" t="s">
        <v>114</v>
      </c>
      <c r="N58" s="4" t="s">
        <v>298</v>
      </c>
      <c r="O58" s="4">
        <v>1</v>
      </c>
      <c r="P58" s="4">
        <v>2</v>
      </c>
      <c r="Q58" s="4" t="s">
        <v>101</v>
      </c>
      <c r="R58" s="4" t="s">
        <v>299</v>
      </c>
      <c r="S58" s="4" t="s">
        <v>300</v>
      </c>
      <c r="T58" s="4" t="s">
        <v>233</v>
      </c>
      <c r="U58" s="4" t="s">
        <v>194</v>
      </c>
      <c r="V58" s="4">
        <v>1</v>
      </c>
      <c r="W58" s="4">
        <v>1</v>
      </c>
      <c r="X58" s="4">
        <v>5</v>
      </c>
      <c r="Y58" s="4" t="s">
        <v>119</v>
      </c>
      <c r="Z58" s="4" t="s">
        <v>108</v>
      </c>
      <c r="AA58" s="4" t="s">
        <v>107</v>
      </c>
      <c r="AB58" s="4" t="s">
        <v>107</v>
      </c>
      <c r="AC58" s="4" t="s">
        <v>101</v>
      </c>
      <c r="AD58" s="4" t="s">
        <v>107</v>
      </c>
      <c r="AE58" s="4" t="s">
        <v>108</v>
      </c>
      <c r="AF58" s="4" t="s">
        <v>107</v>
      </c>
      <c r="AG58" s="4" t="s">
        <v>107</v>
      </c>
      <c r="AH58" s="4" t="s">
        <v>101</v>
      </c>
      <c r="AI58" s="4" t="s">
        <v>108</v>
      </c>
      <c r="AJ58" s="4" t="s">
        <v>108</v>
      </c>
      <c r="AK58" s="4" t="s">
        <v>108</v>
      </c>
      <c r="AL58" s="4" t="s">
        <v>101</v>
      </c>
      <c r="AM58" s="4" t="s">
        <v>108</v>
      </c>
      <c r="AN58" s="4" t="s">
        <v>108</v>
      </c>
      <c r="AO58" s="4" t="s">
        <v>107</v>
      </c>
      <c r="AP58" s="4" t="s">
        <v>108</v>
      </c>
      <c r="AQ58" s="4" t="s">
        <v>101</v>
      </c>
      <c r="AR58" s="4">
        <v>0</v>
      </c>
      <c r="AS58" s="4">
        <v>1</v>
      </c>
      <c r="AT58" s="4" t="s">
        <v>101</v>
      </c>
      <c r="AU58" s="4">
        <v>0</v>
      </c>
      <c r="AV58" s="4">
        <v>0</v>
      </c>
      <c r="AW58" s="4">
        <v>0</v>
      </c>
      <c r="AX58" s="4">
        <v>0</v>
      </c>
      <c r="AY58" s="4" t="s">
        <v>101</v>
      </c>
      <c r="AZ58" s="4">
        <v>1</v>
      </c>
      <c r="BA58" s="4" t="s">
        <v>101</v>
      </c>
      <c r="BB58" s="4">
        <v>0</v>
      </c>
      <c r="BC58" s="4">
        <v>0</v>
      </c>
      <c r="BD58" s="4">
        <v>1</v>
      </c>
      <c r="BE58" s="4">
        <v>1</v>
      </c>
      <c r="BF58" s="4" t="s">
        <v>101</v>
      </c>
      <c r="BG58" s="4" t="s">
        <v>101</v>
      </c>
      <c r="BH58" s="4">
        <v>1</v>
      </c>
      <c r="BI58" s="4">
        <v>1</v>
      </c>
      <c r="BJ58" s="4">
        <v>1</v>
      </c>
      <c r="BK58" s="4">
        <v>1</v>
      </c>
      <c r="BL58" s="4" t="s">
        <v>101</v>
      </c>
      <c r="BM58" s="4" t="s">
        <v>101</v>
      </c>
      <c r="BN58" s="4" t="s">
        <v>101</v>
      </c>
      <c r="BO58" s="4" t="s">
        <v>101</v>
      </c>
      <c r="BP58" s="4" t="s">
        <v>101</v>
      </c>
      <c r="BQ58" s="4" t="s">
        <v>101</v>
      </c>
      <c r="BR58" s="4">
        <v>0</v>
      </c>
      <c r="BS58" s="4">
        <v>1</v>
      </c>
      <c r="BT58" s="4">
        <v>0</v>
      </c>
      <c r="BU58" s="4" t="s">
        <v>101</v>
      </c>
      <c r="BV58" s="4">
        <v>1</v>
      </c>
      <c r="BW58" s="4">
        <v>0</v>
      </c>
      <c r="BX58" s="4" t="s">
        <v>101</v>
      </c>
      <c r="BY58" s="4">
        <v>1</v>
      </c>
      <c r="BZ58" s="4" t="s">
        <v>101</v>
      </c>
      <c r="CA58" s="4" t="s">
        <v>101</v>
      </c>
      <c r="CB58" s="19" t="s">
        <v>109</v>
      </c>
      <c r="CC58" s="19" t="s">
        <v>109</v>
      </c>
      <c r="CD58" s="19" t="s">
        <v>109</v>
      </c>
      <c r="CE58" s="19" t="s">
        <v>109</v>
      </c>
      <c r="CF58" s="19" t="s">
        <v>109</v>
      </c>
      <c r="CG58" s="19" t="s">
        <v>111</v>
      </c>
      <c r="CH58" s="46" t="s">
        <v>130</v>
      </c>
      <c r="CI58" s="46" t="s">
        <v>109</v>
      </c>
      <c r="CJ58" s="46" t="s">
        <v>109</v>
      </c>
      <c r="CK58" s="46" t="s">
        <v>130</v>
      </c>
      <c r="CL58" s="46" t="s">
        <v>109</v>
      </c>
      <c r="CM58" s="46" t="s">
        <v>109</v>
      </c>
      <c r="CN58" s="46" t="s">
        <v>130</v>
      </c>
      <c r="CO58" s="46" t="s">
        <v>109</v>
      </c>
      <c r="CP58" s="46" t="s">
        <v>109</v>
      </c>
    </row>
    <row r="59" spans="1:94">
      <c r="A59" s="4" t="s">
        <v>289</v>
      </c>
      <c r="B59" s="4">
        <v>5</v>
      </c>
      <c r="C59" s="29">
        <v>40879</v>
      </c>
      <c r="D59" s="29" t="s">
        <v>91</v>
      </c>
      <c r="E59" s="4">
        <v>1990</v>
      </c>
      <c r="F59" s="4" t="s">
        <v>120</v>
      </c>
      <c r="G59" s="4" t="s">
        <v>93</v>
      </c>
      <c r="H59" s="4" t="s">
        <v>94</v>
      </c>
      <c r="I59" s="4" t="s">
        <v>166</v>
      </c>
      <c r="J59" s="45" t="s">
        <v>96</v>
      </c>
      <c r="K59" s="45" t="s">
        <v>97</v>
      </c>
      <c r="L59" s="45" t="s">
        <v>167</v>
      </c>
      <c r="M59" s="4" t="s">
        <v>114</v>
      </c>
      <c r="N59" s="4" t="s">
        <v>139</v>
      </c>
      <c r="O59" s="4">
        <v>6</v>
      </c>
      <c r="P59" s="4">
        <v>1</v>
      </c>
      <c r="Q59" s="4" t="s">
        <v>101</v>
      </c>
      <c r="R59" s="4" t="s">
        <v>301</v>
      </c>
      <c r="S59" s="4" t="s">
        <v>199</v>
      </c>
      <c r="T59" s="4" t="s">
        <v>302</v>
      </c>
      <c r="U59" s="4" t="s">
        <v>105</v>
      </c>
      <c r="V59" s="4">
        <v>2</v>
      </c>
      <c r="W59" s="4">
        <v>0</v>
      </c>
      <c r="X59" s="4">
        <v>1</v>
      </c>
      <c r="Y59" s="4" t="s">
        <v>106</v>
      </c>
      <c r="Z59" s="4" t="s">
        <v>107</v>
      </c>
      <c r="AA59" s="4" t="s">
        <v>108</v>
      </c>
      <c r="AB59" s="4" t="s">
        <v>108</v>
      </c>
      <c r="AC59" s="4" t="s">
        <v>107</v>
      </c>
      <c r="AD59" s="4" t="s">
        <v>101</v>
      </c>
      <c r="AE59" s="4" t="s">
        <v>107</v>
      </c>
      <c r="AF59" s="4" t="s">
        <v>107</v>
      </c>
      <c r="AG59" s="4" t="s">
        <v>107</v>
      </c>
      <c r="AH59" s="4" t="s">
        <v>101</v>
      </c>
      <c r="AI59" s="4" t="s">
        <v>107</v>
      </c>
      <c r="AJ59" s="4" t="s">
        <v>119</v>
      </c>
      <c r="AK59" s="4" t="s">
        <v>108</v>
      </c>
      <c r="AL59" s="4" t="s">
        <v>108</v>
      </c>
      <c r="AM59" s="4" t="s">
        <v>101</v>
      </c>
      <c r="AN59" s="4" t="s">
        <v>108</v>
      </c>
      <c r="AO59" s="4" t="s">
        <v>107</v>
      </c>
      <c r="AP59" s="4" t="s">
        <v>107</v>
      </c>
      <c r="AQ59" s="4" t="s">
        <v>101</v>
      </c>
      <c r="AR59" s="4">
        <v>0</v>
      </c>
      <c r="AS59" s="4">
        <v>0</v>
      </c>
      <c r="AT59" s="4">
        <v>0</v>
      </c>
      <c r="AU59" s="4" t="s">
        <v>101</v>
      </c>
      <c r="AV59" s="4">
        <v>0</v>
      </c>
      <c r="AW59" s="4">
        <v>0</v>
      </c>
      <c r="AX59" s="4">
        <v>0</v>
      </c>
      <c r="AY59" s="4" t="s">
        <v>101</v>
      </c>
      <c r="AZ59" s="4">
        <v>1</v>
      </c>
      <c r="BA59" s="4">
        <v>0</v>
      </c>
      <c r="BB59" s="4" t="s">
        <v>101</v>
      </c>
      <c r="BC59" s="4">
        <v>0</v>
      </c>
      <c r="BD59" s="4">
        <v>1</v>
      </c>
      <c r="BE59" s="4">
        <v>1</v>
      </c>
      <c r="BF59" s="4" t="s">
        <v>101</v>
      </c>
      <c r="BG59" s="4">
        <v>1</v>
      </c>
      <c r="BH59" s="4" t="s">
        <v>101</v>
      </c>
      <c r="BI59" s="4">
        <v>0</v>
      </c>
      <c r="BJ59" s="4">
        <v>0</v>
      </c>
      <c r="BK59" s="4">
        <v>1</v>
      </c>
      <c r="BL59" s="4" t="s">
        <v>101</v>
      </c>
      <c r="BM59" s="4" t="s">
        <v>101</v>
      </c>
      <c r="BN59" s="4">
        <v>0</v>
      </c>
      <c r="BO59" s="4">
        <v>1</v>
      </c>
      <c r="BP59" s="4">
        <v>0</v>
      </c>
      <c r="BQ59" s="4" t="s">
        <v>101</v>
      </c>
      <c r="BR59" s="4" t="s">
        <v>101</v>
      </c>
      <c r="BS59" s="4" t="s">
        <v>101</v>
      </c>
      <c r="BT59" s="4" t="s">
        <v>101</v>
      </c>
      <c r="BU59" s="4" t="s">
        <v>101</v>
      </c>
      <c r="BV59" s="4">
        <v>1</v>
      </c>
      <c r="BW59" s="4">
        <v>0</v>
      </c>
      <c r="BX59" s="4" t="s">
        <v>101</v>
      </c>
      <c r="BY59" s="4">
        <v>0</v>
      </c>
      <c r="BZ59" s="4" t="s">
        <v>101</v>
      </c>
      <c r="CA59" s="4" t="s">
        <v>101</v>
      </c>
      <c r="CB59" s="19" t="s">
        <v>109</v>
      </c>
      <c r="CC59" s="19" t="s">
        <v>109</v>
      </c>
      <c r="CD59" s="19" t="s">
        <v>109</v>
      </c>
      <c r="CE59" s="19" t="s">
        <v>109</v>
      </c>
      <c r="CF59" s="19" t="s">
        <v>109</v>
      </c>
      <c r="CG59" s="19" t="s">
        <v>109</v>
      </c>
      <c r="CH59" s="46" t="s">
        <v>110</v>
      </c>
      <c r="CI59" s="46" t="s">
        <v>109</v>
      </c>
      <c r="CJ59" s="46" t="s">
        <v>109</v>
      </c>
      <c r="CK59" s="46" t="s">
        <v>110</v>
      </c>
      <c r="CL59" s="46" t="s">
        <v>109</v>
      </c>
      <c r="CM59" s="46" t="s">
        <v>109</v>
      </c>
      <c r="CN59" s="46" t="s">
        <v>110</v>
      </c>
      <c r="CO59" s="46" t="s">
        <v>109</v>
      </c>
      <c r="CP59" s="46" t="s">
        <v>109</v>
      </c>
    </row>
    <row r="60" spans="1:94">
      <c r="A60" s="4" t="s">
        <v>289</v>
      </c>
      <c r="B60" s="4">
        <v>6</v>
      </c>
      <c r="C60" s="29">
        <v>40886</v>
      </c>
      <c r="D60" s="29" t="s">
        <v>91</v>
      </c>
      <c r="E60" s="4">
        <v>1992</v>
      </c>
      <c r="F60" s="4" t="s">
        <v>138</v>
      </c>
      <c r="G60" s="4" t="s">
        <v>93</v>
      </c>
      <c r="H60" s="4" t="s">
        <v>94</v>
      </c>
      <c r="I60" s="4" t="s">
        <v>95</v>
      </c>
      <c r="J60" s="45" t="s">
        <v>96</v>
      </c>
      <c r="K60" s="45" t="s">
        <v>122</v>
      </c>
      <c r="L60" s="4" t="s">
        <v>133</v>
      </c>
      <c r="M60" s="4" t="s">
        <v>99</v>
      </c>
      <c r="N60" s="4" t="s">
        <v>303</v>
      </c>
      <c r="O60" s="4">
        <v>4</v>
      </c>
      <c r="P60" s="4">
        <v>1</v>
      </c>
      <c r="Q60" s="4" t="s">
        <v>101</v>
      </c>
      <c r="R60" s="4" t="s">
        <v>304</v>
      </c>
      <c r="S60" s="4" t="s">
        <v>101</v>
      </c>
      <c r="T60" s="4" t="s">
        <v>101</v>
      </c>
      <c r="U60" s="4" t="s">
        <v>101</v>
      </c>
      <c r="V60" s="4">
        <v>0</v>
      </c>
      <c r="W60" s="4">
        <v>0</v>
      </c>
      <c r="X60" s="4">
        <v>5</v>
      </c>
      <c r="Y60" s="4" t="s">
        <v>106</v>
      </c>
      <c r="Z60" s="4" t="s">
        <v>119</v>
      </c>
      <c r="AA60" s="4" t="s">
        <v>108</v>
      </c>
      <c r="AB60" s="4" t="s">
        <v>107</v>
      </c>
      <c r="AC60" s="4" t="s">
        <v>108</v>
      </c>
      <c r="AD60" s="4" t="s">
        <v>119</v>
      </c>
      <c r="AE60" s="4" t="s">
        <v>101</v>
      </c>
      <c r="AF60" s="4" t="s">
        <v>119</v>
      </c>
      <c r="AG60" s="4" t="s">
        <v>108</v>
      </c>
      <c r="AH60" s="4" t="s">
        <v>101</v>
      </c>
      <c r="AI60" s="4" t="s">
        <v>119</v>
      </c>
      <c r="AJ60" s="4" t="s">
        <v>108</v>
      </c>
      <c r="AK60" s="4" t="s">
        <v>108</v>
      </c>
      <c r="AL60" s="4" t="s">
        <v>119</v>
      </c>
      <c r="AM60" s="4" t="s">
        <v>119</v>
      </c>
      <c r="AN60" s="4" t="s">
        <v>101</v>
      </c>
      <c r="AO60" s="4" t="s">
        <v>119</v>
      </c>
      <c r="AP60" s="4" t="s">
        <v>108</v>
      </c>
      <c r="AQ60" s="4" t="s">
        <v>101</v>
      </c>
      <c r="AR60" s="4">
        <v>0</v>
      </c>
      <c r="AS60" s="4">
        <v>0</v>
      </c>
      <c r="AT60" s="4">
        <v>0</v>
      </c>
      <c r="AU60" s="4">
        <v>0</v>
      </c>
      <c r="AV60" s="4" t="s">
        <v>101</v>
      </c>
      <c r="AW60" s="4">
        <v>0</v>
      </c>
      <c r="AX60" s="4">
        <v>1</v>
      </c>
      <c r="AY60" s="4" t="s">
        <v>101</v>
      </c>
      <c r="AZ60" s="4">
        <v>1</v>
      </c>
      <c r="BA60" s="4">
        <v>0</v>
      </c>
      <c r="BB60" s="4">
        <v>0</v>
      </c>
      <c r="BC60" s="4" t="s">
        <v>101</v>
      </c>
      <c r="BD60" s="4">
        <v>0</v>
      </c>
      <c r="BE60" s="4">
        <v>0</v>
      </c>
      <c r="BF60" s="4" t="s">
        <v>101</v>
      </c>
      <c r="BG60" s="4">
        <v>0</v>
      </c>
      <c r="BH60" s="4">
        <v>1</v>
      </c>
      <c r="BI60" s="4" t="s">
        <v>101</v>
      </c>
      <c r="BJ60" s="4">
        <v>1</v>
      </c>
      <c r="BK60" s="4">
        <v>1</v>
      </c>
      <c r="BL60" s="4" t="s">
        <v>101</v>
      </c>
      <c r="BM60" s="4">
        <v>1</v>
      </c>
      <c r="BN60" s="4" t="s">
        <v>101</v>
      </c>
      <c r="BO60" s="4">
        <v>1</v>
      </c>
      <c r="BP60" s="4">
        <v>0</v>
      </c>
      <c r="BQ60" s="4" t="s">
        <v>101</v>
      </c>
      <c r="BR60" s="4" t="s">
        <v>101</v>
      </c>
      <c r="BS60" s="4">
        <v>1</v>
      </c>
      <c r="BT60" s="4">
        <v>0</v>
      </c>
      <c r="BU60" s="4" t="s">
        <v>101</v>
      </c>
      <c r="BV60" s="4" t="s">
        <v>101</v>
      </c>
      <c r="BW60" s="4" t="s">
        <v>101</v>
      </c>
      <c r="BX60" s="4" t="s">
        <v>101</v>
      </c>
      <c r="BY60" s="4">
        <v>0</v>
      </c>
      <c r="BZ60" s="4" t="s">
        <v>101</v>
      </c>
      <c r="CA60" s="4" t="s">
        <v>101</v>
      </c>
      <c r="CB60" s="19" t="s">
        <v>111</v>
      </c>
      <c r="CC60" s="19" t="s">
        <v>111</v>
      </c>
      <c r="CD60" s="19" t="s">
        <v>109</v>
      </c>
      <c r="CE60" s="19" t="s">
        <v>109</v>
      </c>
      <c r="CF60" s="19" t="s">
        <v>111</v>
      </c>
      <c r="CG60" s="19" t="s">
        <v>109</v>
      </c>
      <c r="CH60" s="46" t="s">
        <v>130</v>
      </c>
      <c r="CI60" s="46" t="s">
        <v>109</v>
      </c>
      <c r="CJ60" s="46" t="s">
        <v>109</v>
      </c>
      <c r="CK60" s="46" t="s">
        <v>130</v>
      </c>
      <c r="CL60" s="46" t="s">
        <v>111</v>
      </c>
      <c r="CM60" s="46" t="s">
        <v>111</v>
      </c>
      <c r="CN60" s="46" t="s">
        <v>110</v>
      </c>
      <c r="CO60" s="46" t="s">
        <v>111</v>
      </c>
      <c r="CP60" s="46" t="s">
        <v>109</v>
      </c>
    </row>
    <row r="61" spans="1:94">
      <c r="A61" s="4" t="s">
        <v>289</v>
      </c>
      <c r="B61" s="4">
        <v>7</v>
      </c>
      <c r="C61" s="29">
        <v>40876</v>
      </c>
      <c r="D61" s="29" t="s">
        <v>91</v>
      </c>
      <c r="E61" s="4">
        <v>1992</v>
      </c>
      <c r="F61" s="4" t="s">
        <v>112</v>
      </c>
      <c r="G61" s="4" t="s">
        <v>93</v>
      </c>
      <c r="H61" s="4" t="s">
        <v>94</v>
      </c>
      <c r="I61" s="4" t="s">
        <v>95</v>
      </c>
      <c r="J61" s="45" t="s">
        <v>132</v>
      </c>
      <c r="K61" s="45" t="s">
        <v>97</v>
      </c>
      <c r="L61" s="4" t="s">
        <v>133</v>
      </c>
      <c r="M61" s="4" t="s">
        <v>114</v>
      </c>
      <c r="N61" s="4" t="s">
        <v>305</v>
      </c>
      <c r="O61" s="4">
        <v>8</v>
      </c>
      <c r="P61" s="4">
        <v>0</v>
      </c>
      <c r="Q61" s="4" t="s">
        <v>101</v>
      </c>
      <c r="R61" s="4" t="s">
        <v>306</v>
      </c>
      <c r="S61" s="4" t="s">
        <v>101</v>
      </c>
      <c r="T61" s="4" t="s">
        <v>101</v>
      </c>
      <c r="U61" s="4" t="s">
        <v>233</v>
      </c>
      <c r="V61" s="4">
        <v>1</v>
      </c>
      <c r="W61" s="4">
        <v>1</v>
      </c>
      <c r="X61" s="4">
        <v>6</v>
      </c>
      <c r="Y61" s="4" t="s">
        <v>119</v>
      </c>
      <c r="Z61" s="4" t="s">
        <v>108</v>
      </c>
      <c r="AA61" s="4" t="s">
        <v>108</v>
      </c>
      <c r="AB61" s="4" t="s">
        <v>107</v>
      </c>
      <c r="AC61" s="4" t="s">
        <v>107</v>
      </c>
      <c r="AD61" s="4" t="s">
        <v>107</v>
      </c>
      <c r="AE61" s="4" t="s">
        <v>108</v>
      </c>
      <c r="AF61" s="4" t="s">
        <v>101</v>
      </c>
      <c r="AG61" s="4" t="s">
        <v>107</v>
      </c>
      <c r="AH61" s="4" t="s">
        <v>101</v>
      </c>
      <c r="AI61" s="4" t="s">
        <v>108</v>
      </c>
      <c r="AJ61" s="4" t="s">
        <v>108</v>
      </c>
      <c r="AK61" s="4" t="s">
        <v>107</v>
      </c>
      <c r="AL61" s="4" t="s">
        <v>107</v>
      </c>
      <c r="AM61" s="4" t="s">
        <v>107</v>
      </c>
      <c r="AN61" s="4" t="s">
        <v>108</v>
      </c>
      <c r="AO61" s="4" t="s">
        <v>101</v>
      </c>
      <c r="AP61" s="4" t="s">
        <v>107</v>
      </c>
      <c r="AQ61" s="4" t="s">
        <v>101</v>
      </c>
      <c r="AR61" s="4">
        <v>1</v>
      </c>
      <c r="AS61" s="4">
        <v>1</v>
      </c>
      <c r="AT61" s="4">
        <v>1</v>
      </c>
      <c r="AU61" s="4">
        <v>1</v>
      </c>
      <c r="AV61" s="4">
        <v>1</v>
      </c>
      <c r="AW61" s="4" t="s">
        <v>101</v>
      </c>
      <c r="AX61" s="4">
        <v>1</v>
      </c>
      <c r="AY61" s="4" t="s">
        <v>101</v>
      </c>
      <c r="AZ61" s="4">
        <v>1</v>
      </c>
      <c r="BA61" s="4">
        <v>1</v>
      </c>
      <c r="BB61" s="4">
        <v>1</v>
      </c>
      <c r="BC61" s="4">
        <v>1</v>
      </c>
      <c r="BD61" s="4" t="s">
        <v>101</v>
      </c>
      <c r="BE61" s="4">
        <v>1</v>
      </c>
      <c r="BF61" s="4" t="s">
        <v>101</v>
      </c>
      <c r="BG61" s="4">
        <v>1</v>
      </c>
      <c r="BH61" s="4">
        <v>1</v>
      </c>
      <c r="BI61" s="4">
        <v>1</v>
      </c>
      <c r="BJ61" s="4" t="s">
        <v>101</v>
      </c>
      <c r="BK61" s="4">
        <v>1</v>
      </c>
      <c r="BL61" s="4" t="s">
        <v>101</v>
      </c>
      <c r="BM61" s="4">
        <v>1</v>
      </c>
      <c r="BN61" s="4">
        <v>1</v>
      </c>
      <c r="BO61" s="4" t="s">
        <v>101</v>
      </c>
      <c r="BP61" s="4">
        <v>1</v>
      </c>
      <c r="BQ61" s="4" t="s">
        <v>101</v>
      </c>
      <c r="BR61" s="4">
        <v>1</v>
      </c>
      <c r="BS61" s="4" t="s">
        <v>101</v>
      </c>
      <c r="BT61" s="4">
        <v>1</v>
      </c>
      <c r="BU61" s="4" t="s">
        <v>101</v>
      </c>
      <c r="BV61" s="4" t="s">
        <v>101</v>
      </c>
      <c r="BW61" s="4">
        <v>1</v>
      </c>
      <c r="BX61" s="4" t="s">
        <v>101</v>
      </c>
      <c r="BY61" s="4" t="s">
        <v>101</v>
      </c>
      <c r="BZ61" s="4" t="s">
        <v>101</v>
      </c>
      <c r="CA61" s="4" t="s">
        <v>101</v>
      </c>
      <c r="CB61" s="19" t="s">
        <v>109</v>
      </c>
      <c r="CC61" s="19" t="s">
        <v>111</v>
      </c>
      <c r="CD61" s="19" t="s">
        <v>111</v>
      </c>
      <c r="CE61" s="19" t="s">
        <v>109</v>
      </c>
      <c r="CF61" s="19" t="s">
        <v>111</v>
      </c>
      <c r="CG61" s="19" t="s">
        <v>109</v>
      </c>
      <c r="CH61" s="46" t="s">
        <v>110</v>
      </c>
      <c r="CI61" s="46" t="s">
        <v>111</v>
      </c>
      <c r="CJ61" s="46" t="s">
        <v>109</v>
      </c>
      <c r="CK61" s="46" t="s">
        <v>110</v>
      </c>
      <c r="CL61" s="46" t="s">
        <v>111</v>
      </c>
      <c r="CM61" s="46" t="s">
        <v>109</v>
      </c>
      <c r="CN61" s="46" t="s">
        <v>110</v>
      </c>
      <c r="CO61" s="46" t="s">
        <v>111</v>
      </c>
      <c r="CP61" s="46" t="s">
        <v>109</v>
      </c>
    </row>
    <row r="62" spans="1:94">
      <c r="A62" s="4" t="s">
        <v>289</v>
      </c>
      <c r="B62" s="4">
        <v>8</v>
      </c>
      <c r="C62" s="29">
        <v>40876</v>
      </c>
      <c r="D62" s="29" t="s">
        <v>91</v>
      </c>
      <c r="E62" s="4">
        <v>1991</v>
      </c>
      <c r="F62" s="4" t="s">
        <v>92</v>
      </c>
      <c r="G62" s="4" t="s">
        <v>93</v>
      </c>
      <c r="H62" s="4" t="s">
        <v>121</v>
      </c>
      <c r="I62" s="4" t="s">
        <v>113</v>
      </c>
      <c r="J62" s="45" t="s">
        <v>132</v>
      </c>
      <c r="K62" s="45" t="s">
        <v>97</v>
      </c>
      <c r="L62" s="4" t="s">
        <v>98</v>
      </c>
      <c r="M62" s="4" t="s">
        <v>114</v>
      </c>
      <c r="N62" s="4" t="s">
        <v>307</v>
      </c>
      <c r="O62" s="4">
        <v>7</v>
      </c>
      <c r="P62" s="4">
        <v>2</v>
      </c>
      <c r="Q62" s="4" t="s">
        <v>101</v>
      </c>
      <c r="R62" s="4" t="s">
        <v>308</v>
      </c>
      <c r="S62" s="4" t="s">
        <v>309</v>
      </c>
      <c r="T62" s="4" t="s">
        <v>236</v>
      </c>
      <c r="U62" s="4" t="s">
        <v>105</v>
      </c>
      <c r="V62" s="4">
        <v>0</v>
      </c>
      <c r="W62" s="4">
        <v>0</v>
      </c>
      <c r="X62" s="4">
        <v>4</v>
      </c>
      <c r="Y62" s="4" t="s">
        <v>119</v>
      </c>
      <c r="Z62" s="4" t="s">
        <v>108</v>
      </c>
      <c r="AA62" s="4" t="s">
        <v>107</v>
      </c>
      <c r="AB62" s="4" t="s">
        <v>107</v>
      </c>
      <c r="AC62" s="4" t="s">
        <v>107</v>
      </c>
      <c r="AD62" s="4" t="s">
        <v>108</v>
      </c>
      <c r="AE62" s="4" t="s">
        <v>107</v>
      </c>
      <c r="AF62" s="4" t="s">
        <v>107</v>
      </c>
      <c r="AG62" s="4" t="s">
        <v>101</v>
      </c>
      <c r="AH62" s="4" t="s">
        <v>101</v>
      </c>
      <c r="AI62" s="4" t="s">
        <v>108</v>
      </c>
      <c r="AJ62" s="4" t="s">
        <v>108</v>
      </c>
      <c r="AK62" s="4" t="s">
        <v>108</v>
      </c>
      <c r="AL62" s="4" t="s">
        <v>108</v>
      </c>
      <c r="AM62" s="4" t="s">
        <v>108</v>
      </c>
      <c r="AN62" s="4" t="s">
        <v>108</v>
      </c>
      <c r="AO62" s="4" t="s">
        <v>108</v>
      </c>
      <c r="AP62" s="4" t="s">
        <v>101</v>
      </c>
      <c r="AQ62" s="4" t="s">
        <v>101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 t="s">
        <v>101</v>
      </c>
      <c r="AY62" s="4" t="s">
        <v>101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 t="s">
        <v>101</v>
      </c>
      <c r="BF62" s="4" t="s">
        <v>101</v>
      </c>
      <c r="BG62" s="4">
        <v>1</v>
      </c>
      <c r="BH62" s="4">
        <v>0</v>
      </c>
      <c r="BI62" s="4">
        <v>1</v>
      </c>
      <c r="BJ62" s="4">
        <v>1</v>
      </c>
      <c r="BK62" s="4" t="s">
        <v>101</v>
      </c>
      <c r="BL62" s="4" t="s">
        <v>101</v>
      </c>
      <c r="BM62" s="4">
        <v>0</v>
      </c>
      <c r="BN62" s="4">
        <v>0</v>
      </c>
      <c r="BO62" s="4">
        <v>1</v>
      </c>
      <c r="BP62" s="4" t="s">
        <v>101</v>
      </c>
      <c r="BQ62" s="4" t="s">
        <v>101</v>
      </c>
      <c r="BR62" s="4">
        <v>0</v>
      </c>
      <c r="BS62" s="4">
        <v>0</v>
      </c>
      <c r="BT62" s="4" t="s">
        <v>101</v>
      </c>
      <c r="BU62" s="4" t="s">
        <v>101</v>
      </c>
      <c r="BV62" s="4">
        <v>0</v>
      </c>
      <c r="BW62" s="4" t="s">
        <v>101</v>
      </c>
      <c r="BX62" s="4" t="s">
        <v>101</v>
      </c>
      <c r="BY62" s="4" t="s">
        <v>101</v>
      </c>
      <c r="BZ62" s="4" t="s">
        <v>101</v>
      </c>
      <c r="CA62" s="4" t="s">
        <v>101</v>
      </c>
      <c r="CB62" s="19" t="s">
        <v>109</v>
      </c>
      <c r="CC62" s="19" t="s">
        <v>109</v>
      </c>
      <c r="CD62" s="19" t="s">
        <v>109</v>
      </c>
      <c r="CE62" s="19" t="s">
        <v>109</v>
      </c>
      <c r="CF62" s="19" t="s">
        <v>111</v>
      </c>
      <c r="CG62" s="19" t="s">
        <v>109</v>
      </c>
      <c r="CH62" s="46" t="s">
        <v>130</v>
      </c>
      <c r="CI62" s="46" t="s">
        <v>109</v>
      </c>
      <c r="CJ62" s="46" t="s">
        <v>109</v>
      </c>
      <c r="CK62" s="46" t="s">
        <v>130</v>
      </c>
      <c r="CL62" s="46" t="s">
        <v>109</v>
      </c>
      <c r="CM62" s="46" t="s">
        <v>109</v>
      </c>
      <c r="CN62" s="46" t="s">
        <v>130</v>
      </c>
      <c r="CO62" s="46" t="s">
        <v>109</v>
      </c>
      <c r="CP62" s="46" t="s">
        <v>109</v>
      </c>
    </row>
    <row r="63" spans="1:94">
      <c r="A63" s="4" t="s">
        <v>310</v>
      </c>
      <c r="B63" s="4">
        <v>1</v>
      </c>
      <c r="C63" s="29">
        <v>40876</v>
      </c>
      <c r="D63" s="29" t="s">
        <v>189</v>
      </c>
      <c r="E63" s="4">
        <v>1989</v>
      </c>
      <c r="F63" s="4" t="s">
        <v>112</v>
      </c>
      <c r="G63" s="4" t="s">
        <v>93</v>
      </c>
      <c r="H63" s="4" t="s">
        <v>94</v>
      </c>
      <c r="I63" s="4" t="s">
        <v>95</v>
      </c>
      <c r="J63" s="45" t="s">
        <v>96</v>
      </c>
      <c r="K63" s="45" t="s">
        <v>122</v>
      </c>
      <c r="L63" s="4" t="s">
        <v>98</v>
      </c>
      <c r="M63" s="4" t="s">
        <v>99</v>
      </c>
      <c r="N63" s="4" t="s">
        <v>105</v>
      </c>
      <c r="O63" s="4">
        <v>5</v>
      </c>
      <c r="P63" s="4">
        <v>1</v>
      </c>
      <c r="Q63" s="4" t="s">
        <v>101</v>
      </c>
      <c r="R63" s="4" t="s">
        <v>258</v>
      </c>
      <c r="S63" s="4" t="s">
        <v>101</v>
      </c>
      <c r="T63" s="4" t="s">
        <v>233</v>
      </c>
      <c r="U63" s="4" t="s">
        <v>105</v>
      </c>
      <c r="V63" s="4">
        <v>3</v>
      </c>
      <c r="W63" s="4">
        <v>2</v>
      </c>
      <c r="X63" s="4">
        <v>3</v>
      </c>
      <c r="Y63" s="4" t="s">
        <v>118</v>
      </c>
      <c r="Z63" s="4" t="s">
        <v>101</v>
      </c>
      <c r="AA63" s="4" t="s">
        <v>107</v>
      </c>
      <c r="AB63" s="4" t="s">
        <v>119</v>
      </c>
      <c r="AC63" s="4" t="s">
        <v>107</v>
      </c>
      <c r="AD63" s="4" t="s">
        <v>108</v>
      </c>
      <c r="AE63" s="4" t="s">
        <v>108</v>
      </c>
      <c r="AF63" s="4" t="s">
        <v>107</v>
      </c>
      <c r="AG63" s="4" t="s">
        <v>119</v>
      </c>
      <c r="AH63" s="4" t="s">
        <v>101</v>
      </c>
      <c r="AI63" s="4" t="s">
        <v>101</v>
      </c>
      <c r="AJ63" s="4" t="s">
        <v>107</v>
      </c>
      <c r="AK63" s="4" t="s">
        <v>119</v>
      </c>
      <c r="AL63" s="4" t="s">
        <v>107</v>
      </c>
      <c r="AM63" s="4" t="s">
        <v>108</v>
      </c>
      <c r="AN63" s="4" t="s">
        <v>108</v>
      </c>
      <c r="AO63" s="4" t="s">
        <v>107</v>
      </c>
      <c r="AP63" s="4" t="s">
        <v>119</v>
      </c>
      <c r="AQ63" s="4" t="s">
        <v>101</v>
      </c>
      <c r="AR63" s="4" t="s">
        <v>101</v>
      </c>
      <c r="AS63" s="4" t="s">
        <v>101</v>
      </c>
      <c r="AT63" s="4" t="s">
        <v>101</v>
      </c>
      <c r="AU63" s="4" t="s">
        <v>101</v>
      </c>
      <c r="AV63" s="4" t="s">
        <v>101</v>
      </c>
      <c r="AW63" s="4" t="s">
        <v>101</v>
      </c>
      <c r="AX63" s="4" t="s">
        <v>101</v>
      </c>
      <c r="AY63" s="4" t="s">
        <v>101</v>
      </c>
      <c r="AZ63" s="4">
        <v>0</v>
      </c>
      <c r="BA63" s="4">
        <v>1</v>
      </c>
      <c r="BB63" s="4">
        <v>0</v>
      </c>
      <c r="BC63" s="4">
        <v>0</v>
      </c>
      <c r="BD63" s="4">
        <v>0</v>
      </c>
      <c r="BE63" s="4">
        <v>0</v>
      </c>
      <c r="BF63" s="4" t="s">
        <v>101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 t="s">
        <v>101</v>
      </c>
      <c r="BM63" s="4">
        <v>0</v>
      </c>
      <c r="BN63" s="4">
        <v>0</v>
      </c>
      <c r="BO63" s="4">
        <v>0</v>
      </c>
      <c r="BP63" s="4">
        <v>0</v>
      </c>
      <c r="BQ63" s="4" t="s">
        <v>101</v>
      </c>
      <c r="BR63" s="4">
        <v>1</v>
      </c>
      <c r="BS63" s="4">
        <v>1</v>
      </c>
      <c r="BT63" s="4">
        <v>0</v>
      </c>
      <c r="BU63" s="4" t="s">
        <v>101</v>
      </c>
      <c r="BV63" s="4">
        <v>0</v>
      </c>
      <c r="BW63" s="4">
        <v>0</v>
      </c>
      <c r="BX63" s="4" t="s">
        <v>101</v>
      </c>
      <c r="BY63" s="4">
        <v>0</v>
      </c>
      <c r="BZ63" s="4" t="s">
        <v>101</v>
      </c>
      <c r="CA63" s="4" t="s">
        <v>101</v>
      </c>
      <c r="CB63" s="19" t="s">
        <v>109</v>
      </c>
      <c r="CC63" s="19" t="s">
        <v>109</v>
      </c>
      <c r="CD63" s="19" t="s">
        <v>109</v>
      </c>
      <c r="CE63" s="19" t="s">
        <v>109</v>
      </c>
      <c r="CF63" s="19" t="s">
        <v>111</v>
      </c>
      <c r="CG63" s="19" t="s">
        <v>109</v>
      </c>
      <c r="CH63" s="46" t="s">
        <v>110</v>
      </c>
      <c r="CI63" s="46" t="s">
        <v>109</v>
      </c>
      <c r="CJ63" s="46" t="s">
        <v>109</v>
      </c>
      <c r="CK63" s="46" t="s">
        <v>110</v>
      </c>
      <c r="CL63" s="46" t="s">
        <v>109</v>
      </c>
      <c r="CM63" s="46" t="s">
        <v>109</v>
      </c>
      <c r="CN63" s="46" t="s">
        <v>130</v>
      </c>
      <c r="CO63" s="46" t="s">
        <v>111</v>
      </c>
      <c r="CP63" s="46" t="s">
        <v>109</v>
      </c>
    </row>
    <row r="64" spans="1:94">
      <c r="A64" s="4" t="s">
        <v>310</v>
      </c>
      <c r="B64" s="4">
        <v>2</v>
      </c>
      <c r="C64" s="29">
        <v>40876</v>
      </c>
      <c r="D64" s="29" t="s">
        <v>189</v>
      </c>
      <c r="E64" s="4">
        <v>1991</v>
      </c>
      <c r="F64" s="4" t="s">
        <v>112</v>
      </c>
      <c r="G64" s="4" t="s">
        <v>93</v>
      </c>
      <c r="H64" s="4" t="s">
        <v>121</v>
      </c>
      <c r="I64" s="4" t="s">
        <v>95</v>
      </c>
      <c r="J64" s="45" t="s">
        <v>96</v>
      </c>
      <c r="K64" s="45" t="s">
        <v>97</v>
      </c>
      <c r="L64" s="4" t="s">
        <v>98</v>
      </c>
      <c r="M64" s="4" t="s">
        <v>114</v>
      </c>
      <c r="N64" s="4" t="s">
        <v>311</v>
      </c>
      <c r="O64" s="4">
        <v>5</v>
      </c>
      <c r="P64" s="4">
        <v>2</v>
      </c>
      <c r="Q64" s="4" t="s">
        <v>220</v>
      </c>
      <c r="R64" s="4" t="s">
        <v>312</v>
      </c>
      <c r="S64" s="4" t="s">
        <v>199</v>
      </c>
      <c r="T64" s="4" t="s">
        <v>273</v>
      </c>
      <c r="U64" s="4" t="s">
        <v>313</v>
      </c>
      <c r="V64" s="4">
        <v>3</v>
      </c>
      <c r="W64" s="4">
        <v>2</v>
      </c>
      <c r="X64" s="4">
        <v>3</v>
      </c>
      <c r="Y64" s="4" t="s">
        <v>106</v>
      </c>
      <c r="Z64" s="4" t="s">
        <v>107</v>
      </c>
      <c r="AA64" s="4" t="s">
        <v>101</v>
      </c>
      <c r="AB64" s="4" t="s">
        <v>119</v>
      </c>
      <c r="AC64" s="4" t="s">
        <v>107</v>
      </c>
      <c r="AD64" s="4" t="s">
        <v>108</v>
      </c>
      <c r="AE64" s="4" t="s">
        <v>108</v>
      </c>
      <c r="AF64" s="4" t="s">
        <v>108</v>
      </c>
      <c r="AG64" s="4" t="s">
        <v>217</v>
      </c>
      <c r="AH64" s="4" t="s">
        <v>101</v>
      </c>
      <c r="AI64" s="4" t="s">
        <v>107</v>
      </c>
      <c r="AJ64" s="4" t="s">
        <v>101</v>
      </c>
      <c r="AK64" s="4" t="s">
        <v>119</v>
      </c>
      <c r="AL64" s="4" t="s">
        <v>107</v>
      </c>
      <c r="AM64" s="4" t="s">
        <v>108</v>
      </c>
      <c r="AN64" s="4" t="s">
        <v>108</v>
      </c>
      <c r="AO64" s="4" t="s">
        <v>108</v>
      </c>
      <c r="AP64" s="4" t="s">
        <v>217</v>
      </c>
      <c r="AQ64" s="4" t="s">
        <v>101</v>
      </c>
      <c r="AR64" s="4" t="s">
        <v>101</v>
      </c>
      <c r="AS64" s="4">
        <v>0</v>
      </c>
      <c r="AT64" s="4">
        <v>0</v>
      </c>
      <c r="AU64" s="4">
        <v>0</v>
      </c>
      <c r="AV64" s="4">
        <v>0</v>
      </c>
      <c r="AW64" s="4">
        <v>1</v>
      </c>
      <c r="AX64" s="4">
        <v>0</v>
      </c>
      <c r="AY64" s="4" t="s">
        <v>101</v>
      </c>
      <c r="AZ64" s="4" t="s">
        <v>101</v>
      </c>
      <c r="BA64" s="4" t="s">
        <v>101</v>
      </c>
      <c r="BB64" s="4" t="s">
        <v>101</v>
      </c>
      <c r="BC64" s="4" t="s">
        <v>101</v>
      </c>
      <c r="BD64" s="4" t="s">
        <v>101</v>
      </c>
      <c r="BE64" s="4" t="s">
        <v>101</v>
      </c>
      <c r="BF64" s="4" t="s">
        <v>101</v>
      </c>
      <c r="BG64" s="4">
        <v>0</v>
      </c>
      <c r="BH64" s="4">
        <v>0</v>
      </c>
      <c r="BI64" s="4">
        <v>0</v>
      </c>
      <c r="BJ64" s="4">
        <v>0</v>
      </c>
      <c r="BK64" s="4">
        <v>1</v>
      </c>
      <c r="BL64" s="4" t="s">
        <v>101</v>
      </c>
      <c r="BM64" s="4">
        <v>0</v>
      </c>
      <c r="BN64" s="4">
        <v>1</v>
      </c>
      <c r="BO64" s="4">
        <v>1</v>
      </c>
      <c r="BP64" s="4">
        <v>0</v>
      </c>
      <c r="BQ64" s="4" t="s">
        <v>101</v>
      </c>
      <c r="BR64" s="4">
        <v>1</v>
      </c>
      <c r="BS64" s="4">
        <v>0</v>
      </c>
      <c r="BT64" s="4">
        <v>1</v>
      </c>
      <c r="BU64" s="4" t="s">
        <v>101</v>
      </c>
      <c r="BV64" s="4">
        <v>0</v>
      </c>
      <c r="BW64" s="4">
        <v>0</v>
      </c>
      <c r="BX64" s="4" t="s">
        <v>101</v>
      </c>
      <c r="BY64" s="4">
        <v>0</v>
      </c>
      <c r="BZ64" s="4" t="s">
        <v>101</v>
      </c>
      <c r="CA64" s="4" t="s">
        <v>101</v>
      </c>
      <c r="CB64" s="19" t="s">
        <v>109</v>
      </c>
      <c r="CC64" s="19" t="s">
        <v>109</v>
      </c>
      <c r="CD64" s="19" t="s">
        <v>109</v>
      </c>
      <c r="CE64" s="19" t="s">
        <v>109</v>
      </c>
      <c r="CF64" s="19" t="s">
        <v>111</v>
      </c>
      <c r="CG64" s="19" t="s">
        <v>109</v>
      </c>
      <c r="CH64" s="46" t="s">
        <v>110</v>
      </c>
      <c r="CI64" s="46" t="s">
        <v>111</v>
      </c>
      <c r="CJ64" s="46" t="s">
        <v>111</v>
      </c>
      <c r="CK64" s="46" t="s">
        <v>110</v>
      </c>
      <c r="CL64" s="46" t="s">
        <v>109</v>
      </c>
      <c r="CM64" s="46" t="s">
        <v>109</v>
      </c>
      <c r="CN64" s="46" t="s">
        <v>110</v>
      </c>
      <c r="CO64" s="46" t="s">
        <v>109</v>
      </c>
      <c r="CP64" s="46" t="s">
        <v>111</v>
      </c>
    </row>
    <row r="65" spans="1:94">
      <c r="A65" s="4" t="s">
        <v>310</v>
      </c>
      <c r="B65" s="4">
        <v>3</v>
      </c>
      <c r="C65" s="29">
        <v>40876</v>
      </c>
      <c r="D65" s="29" t="s">
        <v>189</v>
      </c>
      <c r="E65" s="4">
        <v>1993</v>
      </c>
      <c r="F65" s="4" t="s">
        <v>138</v>
      </c>
      <c r="G65" s="4" t="s">
        <v>93</v>
      </c>
      <c r="H65" s="4" t="s">
        <v>94</v>
      </c>
      <c r="I65" s="4" t="s">
        <v>95</v>
      </c>
      <c r="J65" s="45" t="s">
        <v>132</v>
      </c>
      <c r="K65" s="45" t="s">
        <v>97</v>
      </c>
      <c r="L65" s="4" t="s">
        <v>98</v>
      </c>
      <c r="M65" s="4" t="s">
        <v>114</v>
      </c>
      <c r="N65" s="4" t="s">
        <v>263</v>
      </c>
      <c r="O65" s="4">
        <v>2</v>
      </c>
      <c r="P65" s="4">
        <v>1</v>
      </c>
      <c r="Q65" s="4" t="s">
        <v>101</v>
      </c>
      <c r="R65" s="4" t="s">
        <v>102</v>
      </c>
      <c r="S65" s="4" t="s">
        <v>263</v>
      </c>
      <c r="T65" s="4" t="s">
        <v>101</v>
      </c>
      <c r="U65" s="4" t="s">
        <v>101</v>
      </c>
      <c r="V65" s="4">
        <v>0</v>
      </c>
      <c r="W65" s="4">
        <v>0</v>
      </c>
      <c r="X65" s="4">
        <v>0</v>
      </c>
      <c r="Y65" s="4" t="s">
        <v>118</v>
      </c>
      <c r="Z65" s="4" t="s">
        <v>119</v>
      </c>
      <c r="AA65" s="4" t="s">
        <v>119</v>
      </c>
      <c r="AB65" s="4" t="s">
        <v>101</v>
      </c>
      <c r="AC65" s="4" t="s">
        <v>119</v>
      </c>
      <c r="AD65" s="4" t="s">
        <v>119</v>
      </c>
      <c r="AE65" s="4" t="s">
        <v>108</v>
      </c>
      <c r="AF65" s="4" t="s">
        <v>108</v>
      </c>
      <c r="AG65" s="4" t="s">
        <v>108</v>
      </c>
      <c r="AH65" s="4" t="s">
        <v>101</v>
      </c>
      <c r="AI65" s="4" t="s">
        <v>119</v>
      </c>
      <c r="AJ65" s="4" t="s">
        <v>119</v>
      </c>
      <c r="AK65" s="4" t="s">
        <v>101</v>
      </c>
      <c r="AL65" s="4" t="s">
        <v>119</v>
      </c>
      <c r="AM65" s="4" t="s">
        <v>119</v>
      </c>
      <c r="AN65" s="4" t="s">
        <v>108</v>
      </c>
      <c r="AO65" s="4" t="s">
        <v>108</v>
      </c>
      <c r="AP65" s="4" t="s">
        <v>108</v>
      </c>
      <c r="AQ65" s="4" t="s">
        <v>101</v>
      </c>
      <c r="AR65" s="4">
        <v>0</v>
      </c>
      <c r="AS65" s="4" t="s">
        <v>101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 t="s">
        <v>101</v>
      </c>
      <c r="AZ65" s="4" t="s">
        <v>101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 t="s">
        <v>101</v>
      </c>
      <c r="BG65" s="4" t="s">
        <v>101</v>
      </c>
      <c r="BH65" s="4" t="s">
        <v>101</v>
      </c>
      <c r="BI65" s="4" t="s">
        <v>101</v>
      </c>
      <c r="BJ65" s="4" t="s">
        <v>101</v>
      </c>
      <c r="BK65" s="4" t="s">
        <v>101</v>
      </c>
      <c r="BL65" s="4" t="s">
        <v>101</v>
      </c>
      <c r="BM65" s="4">
        <v>0</v>
      </c>
      <c r="BN65" s="4">
        <v>0</v>
      </c>
      <c r="BO65" s="4">
        <v>0</v>
      </c>
      <c r="BP65" s="4">
        <v>0</v>
      </c>
      <c r="BQ65" s="4" t="s">
        <v>101</v>
      </c>
      <c r="BR65" s="4">
        <v>0</v>
      </c>
      <c r="BS65" s="4">
        <v>0</v>
      </c>
      <c r="BT65" s="4">
        <v>0</v>
      </c>
      <c r="BU65" s="4" t="s">
        <v>101</v>
      </c>
      <c r="BV65" s="4">
        <v>1</v>
      </c>
      <c r="BW65" s="4">
        <v>0</v>
      </c>
      <c r="BX65" s="4" t="s">
        <v>101</v>
      </c>
      <c r="BY65" s="4">
        <v>0</v>
      </c>
      <c r="BZ65" s="4" t="s">
        <v>101</v>
      </c>
      <c r="CA65" s="4" t="s">
        <v>101</v>
      </c>
      <c r="CB65" s="19" t="s">
        <v>109</v>
      </c>
      <c r="CC65" s="19" t="s">
        <v>109</v>
      </c>
      <c r="CD65" s="19" t="s">
        <v>111</v>
      </c>
      <c r="CE65" s="19" t="s">
        <v>111</v>
      </c>
      <c r="CF65" s="19" t="s">
        <v>111</v>
      </c>
      <c r="CG65" s="19" t="s">
        <v>111</v>
      </c>
      <c r="CH65" s="46" t="s">
        <v>130</v>
      </c>
      <c r="CI65" s="46" t="s">
        <v>109</v>
      </c>
      <c r="CJ65" s="46" t="s">
        <v>109</v>
      </c>
      <c r="CK65" s="46" t="s">
        <v>110</v>
      </c>
      <c r="CL65" s="46" t="s">
        <v>111</v>
      </c>
      <c r="CM65" s="46" t="s">
        <v>109</v>
      </c>
      <c r="CN65" s="46" t="s">
        <v>110</v>
      </c>
      <c r="CO65" s="46" t="s">
        <v>111</v>
      </c>
      <c r="CP65" s="46" t="s">
        <v>111</v>
      </c>
    </row>
    <row r="66" spans="1:94">
      <c r="A66" s="4" t="s">
        <v>310</v>
      </c>
      <c r="B66" s="4">
        <v>4</v>
      </c>
      <c r="C66" s="29">
        <v>40876</v>
      </c>
      <c r="D66" s="29" t="s">
        <v>189</v>
      </c>
      <c r="E66" s="4">
        <v>1992</v>
      </c>
      <c r="F66" s="4" t="s">
        <v>112</v>
      </c>
      <c r="G66" s="4" t="s">
        <v>93</v>
      </c>
      <c r="H66" s="4" t="s">
        <v>121</v>
      </c>
      <c r="I66" s="4" t="s">
        <v>95</v>
      </c>
      <c r="J66" s="45" t="s">
        <v>132</v>
      </c>
      <c r="K66" s="45" t="s">
        <v>97</v>
      </c>
      <c r="L66" s="4" t="s">
        <v>98</v>
      </c>
      <c r="M66" s="4" t="s">
        <v>99</v>
      </c>
      <c r="N66" s="4" t="s">
        <v>105</v>
      </c>
      <c r="O66" s="4">
        <v>6</v>
      </c>
      <c r="P66" s="4">
        <v>1</v>
      </c>
      <c r="Q66" s="4" t="s">
        <v>101</v>
      </c>
      <c r="R66" s="4" t="s">
        <v>178</v>
      </c>
      <c r="S66" s="4" t="s">
        <v>199</v>
      </c>
      <c r="T66" s="4" t="s">
        <v>314</v>
      </c>
      <c r="U66" s="4" t="s">
        <v>194</v>
      </c>
      <c r="V66" s="4">
        <v>1</v>
      </c>
      <c r="W66" s="4">
        <v>0</v>
      </c>
      <c r="X66" s="4">
        <v>2</v>
      </c>
      <c r="Y66" s="4" t="s">
        <v>106</v>
      </c>
      <c r="Z66" s="4" t="s">
        <v>108</v>
      </c>
      <c r="AA66" s="4" t="s">
        <v>107</v>
      </c>
      <c r="AB66" s="4" t="s">
        <v>101</v>
      </c>
      <c r="AC66" s="4" t="s">
        <v>101</v>
      </c>
      <c r="AD66" s="4" t="s">
        <v>108</v>
      </c>
      <c r="AE66" s="4" t="s">
        <v>108</v>
      </c>
      <c r="AF66" s="4" t="s">
        <v>108</v>
      </c>
      <c r="AG66" s="4" t="s">
        <v>119</v>
      </c>
      <c r="AH66" s="4" t="s">
        <v>101</v>
      </c>
      <c r="AI66" s="4" t="s">
        <v>108</v>
      </c>
      <c r="AJ66" s="4" t="s">
        <v>107</v>
      </c>
      <c r="AK66" s="4" t="s">
        <v>101</v>
      </c>
      <c r="AL66" s="4" t="s">
        <v>101</v>
      </c>
      <c r="AM66" s="4" t="s">
        <v>108</v>
      </c>
      <c r="AN66" s="4" t="s">
        <v>108</v>
      </c>
      <c r="AO66" s="4" t="s">
        <v>108</v>
      </c>
      <c r="AP66" s="4" t="s">
        <v>119</v>
      </c>
      <c r="AQ66" s="4" t="s">
        <v>101</v>
      </c>
      <c r="AR66" s="4">
        <v>1</v>
      </c>
      <c r="AS66" s="4">
        <v>0</v>
      </c>
      <c r="AT66" s="4" t="s">
        <v>101</v>
      </c>
      <c r="AU66" s="4">
        <v>0</v>
      </c>
      <c r="AV66" s="4">
        <v>0</v>
      </c>
      <c r="AW66" s="4">
        <v>1</v>
      </c>
      <c r="AX66" s="4">
        <v>0</v>
      </c>
      <c r="AY66" s="4" t="s">
        <v>101</v>
      </c>
      <c r="AZ66" s="4">
        <v>0</v>
      </c>
      <c r="BA66" s="4" t="s">
        <v>101</v>
      </c>
      <c r="BB66" s="4">
        <v>0</v>
      </c>
      <c r="BC66" s="4">
        <v>0</v>
      </c>
      <c r="BD66" s="4">
        <v>1</v>
      </c>
      <c r="BE66" s="4">
        <v>0</v>
      </c>
      <c r="BF66" s="4" t="s">
        <v>101</v>
      </c>
      <c r="BG66" s="4" t="s">
        <v>101</v>
      </c>
      <c r="BH66" s="4">
        <v>0</v>
      </c>
      <c r="BI66" s="4">
        <v>0</v>
      </c>
      <c r="BJ66" s="4">
        <v>0</v>
      </c>
      <c r="BK66" s="4">
        <v>0</v>
      </c>
      <c r="BL66" s="4" t="s">
        <v>101</v>
      </c>
      <c r="BM66" s="4" t="s">
        <v>101</v>
      </c>
      <c r="BN66" s="4" t="s">
        <v>101</v>
      </c>
      <c r="BO66" s="4" t="s">
        <v>101</v>
      </c>
      <c r="BP66" s="4" t="s">
        <v>101</v>
      </c>
      <c r="BQ66" s="4" t="s">
        <v>101</v>
      </c>
      <c r="BR66" s="4">
        <v>1</v>
      </c>
      <c r="BS66" s="4">
        <v>0</v>
      </c>
      <c r="BT66" s="4">
        <v>0</v>
      </c>
      <c r="BU66" s="4" t="s">
        <v>101</v>
      </c>
      <c r="BV66" s="4">
        <v>0</v>
      </c>
      <c r="BW66" s="4">
        <v>0</v>
      </c>
      <c r="BX66" s="4" t="s">
        <v>101</v>
      </c>
      <c r="BY66" s="4">
        <v>0</v>
      </c>
      <c r="BZ66" s="4" t="s">
        <v>101</v>
      </c>
      <c r="CA66" s="4" t="s">
        <v>101</v>
      </c>
      <c r="CB66" s="19" t="s">
        <v>109</v>
      </c>
      <c r="CC66" s="19" t="s">
        <v>111</v>
      </c>
      <c r="CD66" s="19" t="s">
        <v>109</v>
      </c>
      <c r="CE66" s="19" t="s">
        <v>111</v>
      </c>
      <c r="CF66" s="19" t="s">
        <v>109</v>
      </c>
      <c r="CG66" s="19" t="s">
        <v>111</v>
      </c>
      <c r="CH66" s="46" t="s">
        <v>130</v>
      </c>
      <c r="CI66" s="46" t="s">
        <v>109</v>
      </c>
      <c r="CJ66" s="46" t="s">
        <v>111</v>
      </c>
      <c r="CK66" s="46" t="s">
        <v>130</v>
      </c>
      <c r="CL66" s="46" t="s">
        <v>109</v>
      </c>
      <c r="CM66" s="46" t="s">
        <v>111</v>
      </c>
      <c r="CN66" s="46" t="s">
        <v>130</v>
      </c>
      <c r="CO66" s="46" t="s">
        <v>109</v>
      </c>
      <c r="CP66" s="46" t="s">
        <v>111</v>
      </c>
    </row>
    <row r="67" spans="1:94">
      <c r="A67" s="4" t="s">
        <v>310</v>
      </c>
      <c r="B67" s="4">
        <v>5</v>
      </c>
      <c r="C67" s="29">
        <v>40876</v>
      </c>
      <c r="D67" s="29" t="s">
        <v>189</v>
      </c>
      <c r="E67" s="4" t="s">
        <v>101</v>
      </c>
      <c r="F67" s="4" t="s">
        <v>112</v>
      </c>
      <c r="G67" s="4" t="s">
        <v>93</v>
      </c>
      <c r="H67" s="4" t="s">
        <v>94</v>
      </c>
      <c r="I67" s="4" t="s">
        <v>95</v>
      </c>
      <c r="J67" s="45" t="s">
        <v>96</v>
      </c>
      <c r="K67" s="45" t="s">
        <v>97</v>
      </c>
      <c r="L67" s="4" t="s">
        <v>101</v>
      </c>
      <c r="M67" s="4" t="s">
        <v>101</v>
      </c>
      <c r="N67" s="4" t="s">
        <v>101</v>
      </c>
      <c r="O67" s="4">
        <v>1</v>
      </c>
      <c r="P67" s="4">
        <v>2</v>
      </c>
      <c r="Q67" s="4" t="s">
        <v>101</v>
      </c>
      <c r="R67" s="4" t="s">
        <v>101</v>
      </c>
      <c r="S67" s="4" t="s">
        <v>101</v>
      </c>
      <c r="T67" s="4" t="s">
        <v>101</v>
      </c>
      <c r="U67" s="4" t="s">
        <v>101</v>
      </c>
      <c r="V67" s="4">
        <v>1</v>
      </c>
      <c r="W67" s="4">
        <v>0</v>
      </c>
      <c r="X67" s="4">
        <v>2</v>
      </c>
      <c r="Y67" s="4" t="s">
        <v>106</v>
      </c>
      <c r="Z67" s="4" t="s">
        <v>108</v>
      </c>
      <c r="AA67" s="4" t="s">
        <v>108</v>
      </c>
      <c r="AB67" s="4" t="s">
        <v>119</v>
      </c>
      <c r="AC67" s="4" t="s">
        <v>108</v>
      </c>
      <c r="AD67" s="4" t="s">
        <v>101</v>
      </c>
      <c r="AE67" s="4" t="s">
        <v>108</v>
      </c>
      <c r="AF67" s="4" t="s">
        <v>108</v>
      </c>
      <c r="AG67" s="4" t="s">
        <v>119</v>
      </c>
      <c r="AH67" s="4" t="s">
        <v>101</v>
      </c>
      <c r="AI67" s="4" t="s">
        <v>108</v>
      </c>
      <c r="AJ67" s="4" t="s">
        <v>108</v>
      </c>
      <c r="AK67" s="4" t="s">
        <v>119</v>
      </c>
      <c r="AL67" s="4" t="s">
        <v>108</v>
      </c>
      <c r="AM67" s="4" t="s">
        <v>101</v>
      </c>
      <c r="AN67" s="4" t="s">
        <v>108</v>
      </c>
      <c r="AO67" s="4" t="s">
        <v>108</v>
      </c>
      <c r="AP67" s="4" t="s">
        <v>119</v>
      </c>
      <c r="AQ67" s="4" t="s">
        <v>101</v>
      </c>
      <c r="AR67" s="4">
        <v>1</v>
      </c>
      <c r="AS67" s="4">
        <v>0</v>
      </c>
      <c r="AT67" s="4">
        <v>1</v>
      </c>
      <c r="AU67" s="4" t="s">
        <v>101</v>
      </c>
      <c r="AV67" s="4">
        <v>1</v>
      </c>
      <c r="AW67" s="4">
        <v>1</v>
      </c>
      <c r="AX67" s="4">
        <v>0</v>
      </c>
      <c r="AY67" s="4" t="s">
        <v>101</v>
      </c>
      <c r="AZ67" s="4">
        <v>0</v>
      </c>
      <c r="BA67" s="4">
        <v>1</v>
      </c>
      <c r="BB67" s="4" t="s">
        <v>101</v>
      </c>
      <c r="BC67" s="4">
        <v>0</v>
      </c>
      <c r="BD67" s="4">
        <v>1</v>
      </c>
      <c r="BE67" s="4">
        <v>0</v>
      </c>
      <c r="BF67" s="4" t="s">
        <v>101</v>
      </c>
      <c r="BG67" s="4">
        <v>0</v>
      </c>
      <c r="BH67" s="4" t="s">
        <v>101</v>
      </c>
      <c r="BI67" s="4">
        <v>0</v>
      </c>
      <c r="BJ67" s="4">
        <v>0</v>
      </c>
      <c r="BK67" s="4">
        <v>0</v>
      </c>
      <c r="BL67" s="4" t="s">
        <v>101</v>
      </c>
      <c r="BM67" s="4" t="s">
        <v>101</v>
      </c>
      <c r="BN67" s="4">
        <v>1</v>
      </c>
      <c r="BO67" s="4">
        <v>1</v>
      </c>
      <c r="BP67" s="4">
        <v>0</v>
      </c>
      <c r="BQ67" s="4" t="s">
        <v>101</v>
      </c>
      <c r="BR67" s="4" t="s">
        <v>101</v>
      </c>
      <c r="BS67" s="4" t="s">
        <v>101</v>
      </c>
      <c r="BT67" s="4" t="s">
        <v>101</v>
      </c>
      <c r="BU67" s="4" t="s">
        <v>101</v>
      </c>
      <c r="BV67" s="4">
        <v>0</v>
      </c>
      <c r="BW67" s="4">
        <v>0</v>
      </c>
      <c r="BX67" s="4" t="s">
        <v>101</v>
      </c>
      <c r="BY67" s="4">
        <v>0</v>
      </c>
      <c r="BZ67" s="4" t="s">
        <v>101</v>
      </c>
      <c r="CA67" s="4" t="s">
        <v>101</v>
      </c>
      <c r="CB67" s="19" t="s">
        <v>109</v>
      </c>
      <c r="CC67" s="19" t="s">
        <v>109</v>
      </c>
      <c r="CD67" s="19" t="s">
        <v>109</v>
      </c>
      <c r="CE67" s="19" t="s">
        <v>109</v>
      </c>
      <c r="CF67" s="19" t="s">
        <v>109</v>
      </c>
      <c r="CG67" s="19" t="s">
        <v>109</v>
      </c>
      <c r="CH67" s="46" t="s">
        <v>130</v>
      </c>
      <c r="CI67" s="46" t="s">
        <v>109</v>
      </c>
      <c r="CJ67" s="46" t="s">
        <v>109</v>
      </c>
      <c r="CK67" s="46" t="s">
        <v>130</v>
      </c>
      <c r="CL67" s="46" t="s">
        <v>109</v>
      </c>
      <c r="CM67" s="46" t="s">
        <v>109</v>
      </c>
      <c r="CN67" s="46" t="s">
        <v>130</v>
      </c>
      <c r="CO67" s="46" t="s">
        <v>109</v>
      </c>
      <c r="CP67" s="46" t="s">
        <v>109</v>
      </c>
    </row>
    <row r="68" spans="1:94">
      <c r="A68" s="4" t="s">
        <v>310</v>
      </c>
      <c r="B68" s="4">
        <v>6</v>
      </c>
      <c r="C68" s="29">
        <v>40876</v>
      </c>
      <c r="D68" s="29" t="s">
        <v>189</v>
      </c>
      <c r="E68" s="4">
        <v>1992</v>
      </c>
      <c r="F68" s="4" t="s">
        <v>138</v>
      </c>
      <c r="G68" s="4" t="s">
        <v>93</v>
      </c>
      <c r="H68" s="4" t="s">
        <v>94</v>
      </c>
      <c r="I68" s="4" t="s">
        <v>95</v>
      </c>
      <c r="J68" s="45" t="s">
        <v>132</v>
      </c>
      <c r="K68" s="45" t="s">
        <v>122</v>
      </c>
      <c r="L68" s="45" t="s">
        <v>167</v>
      </c>
      <c r="M68" s="4" t="s">
        <v>99</v>
      </c>
      <c r="N68" s="4" t="s">
        <v>315</v>
      </c>
      <c r="O68" s="4">
        <v>3</v>
      </c>
      <c r="P68" s="4">
        <v>0</v>
      </c>
      <c r="Q68" s="4" t="s">
        <v>101</v>
      </c>
      <c r="R68" s="4" t="s">
        <v>316</v>
      </c>
      <c r="S68" s="4" t="s">
        <v>101</v>
      </c>
      <c r="T68" s="4" t="s">
        <v>101</v>
      </c>
      <c r="U68" s="4" t="s">
        <v>101</v>
      </c>
      <c r="V68" s="4">
        <v>2</v>
      </c>
      <c r="W68" s="4">
        <v>0</v>
      </c>
      <c r="X68" s="4">
        <v>0</v>
      </c>
      <c r="Y68" s="4" t="s">
        <v>106</v>
      </c>
      <c r="Z68" s="4" t="s">
        <v>108</v>
      </c>
      <c r="AA68" s="4" t="s">
        <v>108</v>
      </c>
      <c r="AB68" s="4" t="s">
        <v>108</v>
      </c>
      <c r="AC68" s="4" t="s">
        <v>108</v>
      </c>
      <c r="AD68" s="4" t="s">
        <v>108</v>
      </c>
      <c r="AE68" s="4" t="s">
        <v>101</v>
      </c>
      <c r="AF68" s="4" t="s">
        <v>108</v>
      </c>
      <c r="AG68" s="4" t="s">
        <v>119</v>
      </c>
      <c r="AH68" s="4" t="s">
        <v>101</v>
      </c>
      <c r="AI68" s="4" t="s">
        <v>108</v>
      </c>
      <c r="AJ68" s="4" t="s">
        <v>119</v>
      </c>
      <c r="AK68" s="4" t="s">
        <v>108</v>
      </c>
      <c r="AL68" s="4" t="s">
        <v>108</v>
      </c>
      <c r="AM68" s="4" t="s">
        <v>108</v>
      </c>
      <c r="AN68" s="4" t="s">
        <v>101</v>
      </c>
      <c r="AO68" s="4" t="s">
        <v>119</v>
      </c>
      <c r="AP68" s="4" t="s">
        <v>119</v>
      </c>
      <c r="AQ68" s="4" t="s">
        <v>101</v>
      </c>
      <c r="AR68" s="4">
        <v>1</v>
      </c>
      <c r="AS68" s="4">
        <v>0</v>
      </c>
      <c r="AT68" s="4">
        <v>1</v>
      </c>
      <c r="AU68" s="4">
        <v>0</v>
      </c>
      <c r="AV68" s="4" t="s">
        <v>101</v>
      </c>
      <c r="AW68" s="4">
        <v>1</v>
      </c>
      <c r="AX68" s="4">
        <v>0</v>
      </c>
      <c r="AY68" s="4" t="s">
        <v>101</v>
      </c>
      <c r="AZ68" s="4">
        <v>0</v>
      </c>
      <c r="BA68" s="4">
        <v>1</v>
      </c>
      <c r="BB68" s="4">
        <v>0</v>
      </c>
      <c r="BC68" s="4" t="s">
        <v>101</v>
      </c>
      <c r="BD68" s="4">
        <v>1</v>
      </c>
      <c r="BE68" s="4">
        <v>0</v>
      </c>
      <c r="BF68" s="4" t="s">
        <v>101</v>
      </c>
      <c r="BG68" s="4">
        <v>0</v>
      </c>
      <c r="BH68" s="4">
        <v>0</v>
      </c>
      <c r="BI68" s="4" t="s">
        <v>101</v>
      </c>
      <c r="BJ68" s="4">
        <v>0</v>
      </c>
      <c r="BK68" s="4">
        <v>0</v>
      </c>
      <c r="BL68" s="4" t="s">
        <v>101</v>
      </c>
      <c r="BM68" s="4">
        <v>0</v>
      </c>
      <c r="BN68" s="4" t="s">
        <v>101</v>
      </c>
      <c r="BO68" s="4">
        <v>1</v>
      </c>
      <c r="BP68" s="4">
        <v>0</v>
      </c>
      <c r="BQ68" s="4" t="s">
        <v>101</v>
      </c>
      <c r="BR68" s="4" t="s">
        <v>101</v>
      </c>
      <c r="BS68" s="4">
        <v>0</v>
      </c>
      <c r="BT68" s="4">
        <v>0</v>
      </c>
      <c r="BU68" s="4" t="s">
        <v>101</v>
      </c>
      <c r="BV68" s="4" t="s">
        <v>101</v>
      </c>
      <c r="BW68" s="4" t="s">
        <v>101</v>
      </c>
      <c r="BX68" s="4" t="s">
        <v>101</v>
      </c>
      <c r="BY68" s="4">
        <v>0</v>
      </c>
      <c r="BZ68" s="4" t="s">
        <v>101</v>
      </c>
      <c r="CA68" s="4" t="s">
        <v>101</v>
      </c>
      <c r="CB68" s="19" t="s">
        <v>109</v>
      </c>
      <c r="CC68" s="19" t="s">
        <v>109</v>
      </c>
      <c r="CD68" s="19" t="s">
        <v>109</v>
      </c>
      <c r="CE68" s="19" t="s">
        <v>109</v>
      </c>
      <c r="CF68" s="19" t="s">
        <v>109</v>
      </c>
      <c r="CG68" s="19" t="s">
        <v>111</v>
      </c>
      <c r="CH68" s="46" t="s">
        <v>110</v>
      </c>
      <c r="CI68" s="46" t="s">
        <v>109</v>
      </c>
      <c r="CJ68" s="46" t="s">
        <v>109</v>
      </c>
      <c r="CK68" s="46" t="s">
        <v>110</v>
      </c>
      <c r="CL68" s="46" t="s">
        <v>111</v>
      </c>
      <c r="CM68" s="46" t="s">
        <v>111</v>
      </c>
      <c r="CN68" s="46" t="s">
        <v>130</v>
      </c>
      <c r="CO68" s="46" t="s">
        <v>111</v>
      </c>
      <c r="CP68" s="46" t="s">
        <v>111</v>
      </c>
    </row>
    <row r="69" spans="1:94">
      <c r="A69" s="4" t="s">
        <v>310</v>
      </c>
      <c r="B69" s="4">
        <v>7</v>
      </c>
      <c r="C69" s="29">
        <v>40883</v>
      </c>
      <c r="D69" s="29" t="s">
        <v>189</v>
      </c>
      <c r="E69" s="4">
        <v>1988</v>
      </c>
      <c r="F69" s="4" t="s">
        <v>138</v>
      </c>
      <c r="G69" s="4" t="s">
        <v>93</v>
      </c>
      <c r="H69" s="4" t="s">
        <v>94</v>
      </c>
      <c r="I69" s="4" t="s">
        <v>95</v>
      </c>
      <c r="J69" s="45" t="s">
        <v>132</v>
      </c>
      <c r="K69" s="45" t="s">
        <v>122</v>
      </c>
      <c r="L69" s="45" t="s">
        <v>167</v>
      </c>
      <c r="M69" s="4" t="s">
        <v>99</v>
      </c>
      <c r="N69" s="4" t="s">
        <v>317</v>
      </c>
      <c r="O69" s="4">
        <v>4</v>
      </c>
      <c r="P69" s="4">
        <v>2</v>
      </c>
      <c r="Q69" s="4" t="s">
        <v>101</v>
      </c>
      <c r="R69" s="4" t="s">
        <v>318</v>
      </c>
      <c r="S69" s="4" t="s">
        <v>199</v>
      </c>
      <c r="T69" s="4" t="s">
        <v>101</v>
      </c>
      <c r="U69" s="4" t="s">
        <v>105</v>
      </c>
      <c r="V69" s="4">
        <v>4</v>
      </c>
      <c r="W69" s="4">
        <v>1</v>
      </c>
      <c r="X69" s="4">
        <v>0</v>
      </c>
      <c r="Y69" s="4" t="s">
        <v>118</v>
      </c>
      <c r="Z69" s="4" t="s">
        <v>107</v>
      </c>
      <c r="AA69" s="4" t="s">
        <v>107</v>
      </c>
      <c r="AB69" s="4" t="s">
        <v>108</v>
      </c>
      <c r="AC69" s="4" t="s">
        <v>107</v>
      </c>
      <c r="AD69" s="4" t="s">
        <v>108</v>
      </c>
      <c r="AE69" s="4" t="s">
        <v>108</v>
      </c>
      <c r="AF69" s="4" t="s">
        <v>101</v>
      </c>
      <c r="AG69" s="4" t="s">
        <v>108</v>
      </c>
      <c r="AH69" s="4" t="s">
        <v>101</v>
      </c>
      <c r="AI69" s="4" t="s">
        <v>107</v>
      </c>
      <c r="AJ69" s="4" t="s">
        <v>107</v>
      </c>
      <c r="AK69" s="4" t="s">
        <v>108</v>
      </c>
      <c r="AL69" s="4" t="s">
        <v>107</v>
      </c>
      <c r="AM69" s="4" t="s">
        <v>108</v>
      </c>
      <c r="AN69" s="4" t="s">
        <v>108</v>
      </c>
      <c r="AO69" s="4" t="s">
        <v>101</v>
      </c>
      <c r="AP69" s="4" t="s">
        <v>108</v>
      </c>
      <c r="AQ69" s="4" t="s">
        <v>101</v>
      </c>
      <c r="AR69" s="4">
        <v>1</v>
      </c>
      <c r="AS69" s="4">
        <v>0</v>
      </c>
      <c r="AT69" s="4">
        <v>1</v>
      </c>
      <c r="AU69" s="4">
        <v>0</v>
      </c>
      <c r="AV69" s="4">
        <v>0</v>
      </c>
      <c r="AW69" s="4" t="s">
        <v>101</v>
      </c>
      <c r="AX69" s="4">
        <v>0</v>
      </c>
      <c r="AY69" s="4" t="s">
        <v>101</v>
      </c>
      <c r="AZ69" s="4">
        <v>0</v>
      </c>
      <c r="BA69" s="4">
        <v>1</v>
      </c>
      <c r="BB69" s="4">
        <v>0</v>
      </c>
      <c r="BC69" s="4">
        <v>0</v>
      </c>
      <c r="BD69" s="4" t="s">
        <v>101</v>
      </c>
      <c r="BE69" s="4">
        <v>0</v>
      </c>
      <c r="BF69" s="4" t="s">
        <v>101</v>
      </c>
      <c r="BG69" s="4">
        <v>0</v>
      </c>
      <c r="BH69" s="4">
        <v>0</v>
      </c>
      <c r="BI69" s="4">
        <v>0</v>
      </c>
      <c r="BJ69" s="4" t="s">
        <v>101</v>
      </c>
      <c r="BK69" s="4">
        <v>0</v>
      </c>
      <c r="BL69" s="4" t="s">
        <v>101</v>
      </c>
      <c r="BM69" s="4">
        <v>0</v>
      </c>
      <c r="BN69" s="4">
        <v>0</v>
      </c>
      <c r="BO69" s="4" t="s">
        <v>101</v>
      </c>
      <c r="BP69" s="4">
        <v>0</v>
      </c>
      <c r="BQ69" s="4" t="s">
        <v>101</v>
      </c>
      <c r="BR69" s="4">
        <v>1</v>
      </c>
      <c r="BS69" s="4" t="s">
        <v>101</v>
      </c>
      <c r="BT69" s="4">
        <v>0</v>
      </c>
      <c r="BU69" s="4" t="s">
        <v>101</v>
      </c>
      <c r="BV69" s="4" t="s">
        <v>101</v>
      </c>
      <c r="BW69" s="4">
        <v>0</v>
      </c>
      <c r="BX69" s="4" t="s">
        <v>101</v>
      </c>
      <c r="BY69" s="4" t="s">
        <v>101</v>
      </c>
      <c r="BZ69" s="4" t="s">
        <v>101</v>
      </c>
      <c r="CA69" s="4" t="s">
        <v>101</v>
      </c>
      <c r="CB69" s="19" t="s">
        <v>109</v>
      </c>
      <c r="CC69" s="19" t="s">
        <v>109</v>
      </c>
      <c r="CD69" s="19" t="s">
        <v>109</v>
      </c>
      <c r="CE69" s="19" t="s">
        <v>109</v>
      </c>
      <c r="CF69" s="19" t="s">
        <v>109</v>
      </c>
      <c r="CG69" s="19" t="s">
        <v>109</v>
      </c>
      <c r="CH69" s="46" t="s">
        <v>130</v>
      </c>
      <c r="CI69" s="46" t="s">
        <v>111</v>
      </c>
      <c r="CJ69" s="46" t="s">
        <v>111</v>
      </c>
      <c r="CK69" s="46" t="s">
        <v>130</v>
      </c>
      <c r="CL69" s="46" t="s">
        <v>111</v>
      </c>
      <c r="CM69" s="46" t="s">
        <v>111</v>
      </c>
      <c r="CN69" s="46" t="s">
        <v>130</v>
      </c>
      <c r="CO69" s="46" t="s">
        <v>111</v>
      </c>
      <c r="CP69" s="46" t="s">
        <v>111</v>
      </c>
    </row>
    <row r="70" spans="1:94">
      <c r="A70" s="4" t="s">
        <v>310</v>
      </c>
      <c r="B70" s="4">
        <v>8</v>
      </c>
      <c r="C70" s="29">
        <v>40876</v>
      </c>
      <c r="D70" s="29" t="s">
        <v>189</v>
      </c>
      <c r="E70" s="4">
        <v>1989</v>
      </c>
      <c r="F70" s="4" t="s">
        <v>183</v>
      </c>
      <c r="G70" s="4" t="s">
        <v>93</v>
      </c>
      <c r="H70" s="4" t="s">
        <v>94</v>
      </c>
      <c r="I70" s="4" t="s">
        <v>95</v>
      </c>
      <c r="J70" s="45" t="s">
        <v>132</v>
      </c>
      <c r="K70" s="45" t="s">
        <v>97</v>
      </c>
      <c r="L70" s="4" t="s">
        <v>98</v>
      </c>
      <c r="M70" s="4" t="s">
        <v>168</v>
      </c>
      <c r="N70" s="4" t="s">
        <v>105</v>
      </c>
      <c r="O70" s="4">
        <v>1</v>
      </c>
      <c r="P70" s="4">
        <v>2</v>
      </c>
      <c r="Q70" s="4" t="s">
        <v>319</v>
      </c>
      <c r="R70" s="4" t="s">
        <v>320</v>
      </c>
      <c r="S70" s="4" t="s">
        <v>101</v>
      </c>
      <c r="T70" s="4" t="s">
        <v>321</v>
      </c>
      <c r="U70" s="4" t="s">
        <v>105</v>
      </c>
      <c r="V70" s="4">
        <v>0</v>
      </c>
      <c r="W70" s="4">
        <v>0</v>
      </c>
      <c r="X70" s="4">
        <v>0</v>
      </c>
      <c r="Y70" s="4" t="s">
        <v>106</v>
      </c>
      <c r="Z70" s="4" t="s">
        <v>119</v>
      </c>
      <c r="AA70" s="4" t="s">
        <v>119</v>
      </c>
      <c r="AB70" s="4" t="s">
        <v>108</v>
      </c>
      <c r="AC70" s="4" t="s">
        <v>119</v>
      </c>
      <c r="AD70" s="4" t="s">
        <v>119</v>
      </c>
      <c r="AE70" s="4" t="s">
        <v>108</v>
      </c>
      <c r="AF70" s="4" t="s">
        <v>108</v>
      </c>
      <c r="AG70" s="4" t="s">
        <v>101</v>
      </c>
      <c r="AH70" s="4" t="s">
        <v>101</v>
      </c>
      <c r="AI70" s="4" t="s">
        <v>119</v>
      </c>
      <c r="AJ70" s="4" t="s">
        <v>217</v>
      </c>
      <c r="AK70" s="4" t="s">
        <v>119</v>
      </c>
      <c r="AL70" s="4" t="s">
        <v>217</v>
      </c>
      <c r="AM70" s="4" t="s">
        <v>108</v>
      </c>
      <c r="AN70" s="4" t="s">
        <v>119</v>
      </c>
      <c r="AO70" s="4" t="s">
        <v>108</v>
      </c>
      <c r="AP70" s="4" t="s">
        <v>101</v>
      </c>
      <c r="AQ70" s="4" t="s">
        <v>101</v>
      </c>
      <c r="AR70" s="4">
        <v>0</v>
      </c>
      <c r="AS70" s="4">
        <v>0</v>
      </c>
      <c r="AT70" s="4">
        <v>1</v>
      </c>
      <c r="AU70" s="4">
        <v>0</v>
      </c>
      <c r="AV70" s="4">
        <v>1</v>
      </c>
      <c r="AW70" s="4">
        <v>0</v>
      </c>
      <c r="AX70" s="4" t="s">
        <v>101</v>
      </c>
      <c r="AY70" s="4" t="s">
        <v>101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 t="s">
        <v>101</v>
      </c>
      <c r="BF70" s="4" t="s">
        <v>101</v>
      </c>
      <c r="BG70" s="4">
        <v>0</v>
      </c>
      <c r="BH70" s="4">
        <v>0</v>
      </c>
      <c r="BI70" s="4">
        <v>0</v>
      </c>
      <c r="BJ70" s="4">
        <v>0</v>
      </c>
      <c r="BK70" s="4" t="s">
        <v>101</v>
      </c>
      <c r="BL70" s="4" t="s">
        <v>101</v>
      </c>
      <c r="BM70" s="4">
        <v>0</v>
      </c>
      <c r="BN70" s="4">
        <v>1</v>
      </c>
      <c r="BO70" s="4">
        <v>0</v>
      </c>
      <c r="BP70" s="4" t="s">
        <v>101</v>
      </c>
      <c r="BQ70" s="4" t="s">
        <v>101</v>
      </c>
      <c r="BR70" s="4">
        <v>0</v>
      </c>
      <c r="BS70" s="4">
        <v>0</v>
      </c>
      <c r="BT70" s="4" t="s">
        <v>101</v>
      </c>
      <c r="BU70" s="4" t="s">
        <v>101</v>
      </c>
      <c r="BV70" s="4">
        <v>0</v>
      </c>
      <c r="BW70" s="4" t="s">
        <v>101</v>
      </c>
      <c r="BX70" s="4" t="s">
        <v>101</v>
      </c>
      <c r="BY70" s="4" t="s">
        <v>101</v>
      </c>
      <c r="BZ70" s="4" t="s">
        <v>101</v>
      </c>
      <c r="CA70" s="4" t="s">
        <v>101</v>
      </c>
      <c r="CB70" s="19" t="s">
        <v>111</v>
      </c>
      <c r="CC70" s="19" t="s">
        <v>111</v>
      </c>
      <c r="CD70" s="19" t="s">
        <v>111</v>
      </c>
      <c r="CE70" s="19" t="s">
        <v>111</v>
      </c>
      <c r="CF70" s="19" t="s">
        <v>111</v>
      </c>
      <c r="CG70" s="19" t="s">
        <v>111</v>
      </c>
      <c r="CH70" s="46" t="s">
        <v>110</v>
      </c>
      <c r="CI70" s="46" t="s">
        <v>111</v>
      </c>
      <c r="CJ70" s="46" t="s">
        <v>111</v>
      </c>
      <c r="CK70" s="46" t="s">
        <v>110</v>
      </c>
      <c r="CL70" s="46" t="s">
        <v>111</v>
      </c>
      <c r="CM70" s="46" t="s">
        <v>111</v>
      </c>
      <c r="CN70" s="46" t="s">
        <v>110</v>
      </c>
      <c r="CO70" s="46" t="s">
        <v>111</v>
      </c>
      <c r="CP70" s="46" t="s">
        <v>111</v>
      </c>
    </row>
    <row r="71" spans="1:94">
      <c r="A71" s="4" t="s">
        <v>310</v>
      </c>
      <c r="B71" s="4">
        <v>9</v>
      </c>
      <c r="C71" s="29">
        <v>40876</v>
      </c>
      <c r="D71" s="29" t="s">
        <v>189</v>
      </c>
      <c r="E71" s="4">
        <v>1990</v>
      </c>
      <c r="F71" s="4" t="s">
        <v>112</v>
      </c>
      <c r="G71" s="4" t="s">
        <v>93</v>
      </c>
      <c r="H71" s="4" t="s">
        <v>94</v>
      </c>
      <c r="I71" s="4" t="s">
        <v>166</v>
      </c>
      <c r="J71" s="4" t="s">
        <v>158</v>
      </c>
      <c r="K71" s="45" t="s">
        <v>97</v>
      </c>
      <c r="L71" s="4" t="s">
        <v>101</v>
      </c>
      <c r="M71" s="4" t="s">
        <v>114</v>
      </c>
      <c r="N71" s="4" t="s">
        <v>105</v>
      </c>
      <c r="O71" s="4">
        <v>5</v>
      </c>
      <c r="P71" s="4">
        <v>1</v>
      </c>
      <c r="Q71" s="4" t="s">
        <v>101</v>
      </c>
      <c r="R71" s="4" t="s">
        <v>322</v>
      </c>
      <c r="S71" s="4" t="s">
        <v>101</v>
      </c>
      <c r="T71" s="4" t="s">
        <v>101</v>
      </c>
      <c r="U71" s="4" t="s">
        <v>105</v>
      </c>
      <c r="V71" s="4">
        <v>2</v>
      </c>
      <c r="W71" s="4">
        <v>0</v>
      </c>
      <c r="X71" s="4">
        <v>1</v>
      </c>
      <c r="Y71" s="4" t="s">
        <v>106</v>
      </c>
      <c r="Z71" s="4" t="s">
        <v>119</v>
      </c>
      <c r="AA71" s="4" t="s">
        <v>119</v>
      </c>
      <c r="AB71" s="4" t="s">
        <v>119</v>
      </c>
      <c r="AC71" s="4" t="s">
        <v>108</v>
      </c>
      <c r="AD71" s="4" t="s">
        <v>107</v>
      </c>
      <c r="AE71" s="4" t="s">
        <v>108</v>
      </c>
      <c r="AF71" s="4" t="s">
        <v>108</v>
      </c>
      <c r="AG71" s="4" t="s">
        <v>119</v>
      </c>
      <c r="AH71" s="4" t="s">
        <v>101</v>
      </c>
      <c r="AI71" s="4" t="s">
        <v>119</v>
      </c>
      <c r="AJ71" s="4" t="s">
        <v>119</v>
      </c>
      <c r="AK71" s="4" t="s">
        <v>119</v>
      </c>
      <c r="AL71" s="4" t="s">
        <v>108</v>
      </c>
      <c r="AM71" s="4" t="s">
        <v>108</v>
      </c>
      <c r="AN71" s="4" t="s">
        <v>108</v>
      </c>
      <c r="AO71" s="4" t="s">
        <v>119</v>
      </c>
      <c r="AP71" s="4" t="s">
        <v>119</v>
      </c>
      <c r="AQ71" s="4" t="s">
        <v>101</v>
      </c>
      <c r="AR71" s="4">
        <v>0</v>
      </c>
      <c r="AS71" s="4">
        <v>0</v>
      </c>
      <c r="AT71" s="4">
        <v>1</v>
      </c>
      <c r="AU71" s="4">
        <v>0</v>
      </c>
      <c r="AV71" s="4">
        <v>0</v>
      </c>
      <c r="AW71" s="4">
        <v>0</v>
      </c>
      <c r="AX71" s="4">
        <v>0</v>
      </c>
      <c r="AY71" s="4" t="s">
        <v>101</v>
      </c>
      <c r="AZ71" s="4">
        <v>0</v>
      </c>
      <c r="BA71" s="4">
        <v>1</v>
      </c>
      <c r="BB71" s="4">
        <v>0</v>
      </c>
      <c r="BC71" s="4">
        <v>0</v>
      </c>
      <c r="BD71" s="4">
        <v>0</v>
      </c>
      <c r="BE71" s="4">
        <v>0</v>
      </c>
      <c r="BF71" s="4" t="s">
        <v>101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 t="s">
        <v>101</v>
      </c>
      <c r="BM71" s="4">
        <v>1</v>
      </c>
      <c r="BN71" s="4">
        <v>0</v>
      </c>
      <c r="BO71" s="4">
        <v>0</v>
      </c>
      <c r="BP71" s="4">
        <v>1</v>
      </c>
      <c r="BQ71" s="4" t="s">
        <v>101</v>
      </c>
      <c r="BR71" s="4">
        <v>1</v>
      </c>
      <c r="BS71" s="4">
        <v>0</v>
      </c>
      <c r="BT71" s="4">
        <v>0</v>
      </c>
      <c r="BU71" s="4" t="s">
        <v>101</v>
      </c>
      <c r="BV71" s="4">
        <v>0</v>
      </c>
      <c r="BW71" s="4">
        <v>0</v>
      </c>
      <c r="BX71" s="4" t="s">
        <v>101</v>
      </c>
      <c r="BY71" s="4">
        <v>0</v>
      </c>
      <c r="BZ71" s="4" t="s">
        <v>101</v>
      </c>
      <c r="CA71" s="4" t="s">
        <v>101</v>
      </c>
      <c r="CB71" s="19" t="s">
        <v>109</v>
      </c>
      <c r="CC71" s="19" t="s">
        <v>109</v>
      </c>
      <c r="CD71" s="19" t="s">
        <v>111</v>
      </c>
      <c r="CE71" s="19" t="s">
        <v>111</v>
      </c>
      <c r="CF71" s="19" t="s">
        <v>109</v>
      </c>
      <c r="CG71" s="19" t="s">
        <v>111</v>
      </c>
      <c r="CH71" s="46" t="s">
        <v>130</v>
      </c>
      <c r="CI71" s="46" t="s">
        <v>109</v>
      </c>
      <c r="CJ71" s="46" t="s">
        <v>109</v>
      </c>
      <c r="CK71" s="46" t="s">
        <v>130</v>
      </c>
      <c r="CL71" s="46" t="s">
        <v>111</v>
      </c>
      <c r="CM71" s="46" t="s">
        <v>109</v>
      </c>
      <c r="CN71" s="46" t="s">
        <v>130</v>
      </c>
      <c r="CO71" s="46" t="s">
        <v>109</v>
      </c>
      <c r="CP71" s="46" t="s">
        <v>111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Q71"/>
  <sheetViews>
    <sheetView workbookViewId="0">
      <pane xSplit="3" ySplit="1" topLeftCell="BW2" activePane="bottomRight" state="frozen"/>
      <selection/>
      <selection pane="topRight"/>
      <selection pane="bottomLeft"/>
      <selection pane="bottomRight" activeCell="CQ2" sqref="CQ2"/>
    </sheetView>
  </sheetViews>
  <sheetFormatPr defaultColWidth="8.83636363636364" defaultRowHeight="14"/>
  <cols>
    <col min="1" max="3" width="8.83636363636364" style="4"/>
    <col min="4" max="4" width="16.8363636363636" style="4" customWidth="1"/>
    <col min="5" max="5" width="10.6636363636364" style="4" customWidth="1"/>
    <col min="6" max="6" width="10.1636363636364" style="4" customWidth="1"/>
    <col min="7" max="7" width="5.83636363636364" style="4" customWidth="1"/>
    <col min="8" max="8" width="15" style="4" customWidth="1"/>
    <col min="9" max="14" width="16.3363636363636" style="4" customWidth="1"/>
    <col min="15" max="16" width="17.5" style="4" customWidth="1"/>
    <col min="17" max="23" width="13.5" style="4" customWidth="1"/>
    <col min="24" max="26" width="8.83636363636364" style="4"/>
    <col min="27" max="28" width="10.6636363636364" style="4" customWidth="1"/>
    <col min="29" max="36" width="11" style="4" customWidth="1"/>
    <col min="37" max="37" width="13.5" style="4" customWidth="1"/>
    <col min="38" max="38" width="14.8363636363636" style="4" customWidth="1"/>
    <col min="39" max="39" width="15.1636363636364" style="4" customWidth="1"/>
    <col min="40" max="49" width="15.3363636363636" style="4" customWidth="1"/>
    <col min="50" max="58" width="11" style="4" customWidth="1"/>
    <col min="59" max="59" width="13.5" style="4" customWidth="1"/>
    <col min="60" max="60" width="14.8363636363636" style="4" customWidth="1"/>
    <col min="61" max="61" width="15.1636363636364" style="4" customWidth="1"/>
    <col min="62" max="71" width="15.3363636363636" style="4" customWidth="1"/>
    <col min="72" max="80" width="12" style="4" customWidth="1"/>
    <col min="81" max="82" width="8.5" style="19" customWidth="1"/>
    <col min="83" max="83" width="8.66363636363636" style="19" customWidth="1"/>
    <col min="84" max="84" width="8.5" style="19" customWidth="1"/>
    <col min="85" max="86" width="8.83636363636364" style="19"/>
    <col min="87" max="87" width="8" style="19" customWidth="1"/>
    <col min="88" max="89" width="8.5" style="19" customWidth="1"/>
    <col min="90" max="92" width="8.83636363636364" style="19"/>
    <col min="93" max="93" width="8" style="19" customWidth="1"/>
    <col min="94" max="95" width="8.5" style="19" customWidth="1"/>
    <col min="96" max="16384" width="8.83636363636364" style="4"/>
  </cols>
  <sheetData>
    <row r="1" spans="1:95">
      <c r="A1" s="12" t="s">
        <v>0</v>
      </c>
      <c r="B1" s="12" t="s">
        <v>323</v>
      </c>
      <c r="C1" s="12" t="s">
        <v>1</v>
      </c>
      <c r="D1" s="12" t="s">
        <v>324</v>
      </c>
      <c r="E1" s="12" t="s">
        <v>325</v>
      </c>
      <c r="F1" s="12" t="s">
        <v>326</v>
      </c>
      <c r="G1" s="12" t="s">
        <v>5</v>
      </c>
      <c r="H1" s="12" t="s">
        <v>327</v>
      </c>
      <c r="I1" s="12" t="s">
        <v>328</v>
      </c>
      <c r="J1" s="12" t="s">
        <v>329</v>
      </c>
      <c r="K1" s="12" t="s">
        <v>330</v>
      </c>
      <c r="L1" s="12" t="s">
        <v>331</v>
      </c>
      <c r="M1" s="12" t="s">
        <v>332</v>
      </c>
      <c r="N1" s="12" t="s">
        <v>333</v>
      </c>
      <c r="O1" s="12" t="s">
        <v>334</v>
      </c>
      <c r="P1" s="12" t="s">
        <v>335</v>
      </c>
      <c r="Q1" s="12" t="s">
        <v>336</v>
      </c>
      <c r="R1" s="12" t="s">
        <v>337</v>
      </c>
      <c r="S1" s="12" t="s">
        <v>338</v>
      </c>
      <c r="T1" s="12" t="s">
        <v>339</v>
      </c>
      <c r="U1" s="12" t="s">
        <v>340</v>
      </c>
      <c r="V1" s="12" t="s">
        <v>341</v>
      </c>
      <c r="W1" s="12" t="s">
        <v>342</v>
      </c>
      <c r="X1" s="12" t="s">
        <v>343</v>
      </c>
      <c r="Y1" s="12" t="s">
        <v>344</v>
      </c>
      <c r="Z1" s="12" t="s">
        <v>345</v>
      </c>
      <c r="AA1" s="12" t="s">
        <v>346</v>
      </c>
      <c r="AB1" s="12" t="s">
        <v>347</v>
      </c>
      <c r="AC1" s="12" t="s">
        <v>348</v>
      </c>
      <c r="AD1" s="12" t="s">
        <v>349</v>
      </c>
      <c r="AE1" s="12" t="s">
        <v>350</v>
      </c>
      <c r="AF1" s="12" t="s">
        <v>351</v>
      </c>
      <c r="AG1" s="12" t="s">
        <v>352</v>
      </c>
      <c r="AH1" s="12" t="s">
        <v>353</v>
      </c>
      <c r="AI1" s="12" t="s">
        <v>354</v>
      </c>
      <c r="AJ1" s="12" t="s">
        <v>355</v>
      </c>
      <c r="AK1" s="12" t="s">
        <v>356</v>
      </c>
      <c r="AL1" s="12" t="s">
        <v>357</v>
      </c>
      <c r="AM1" s="12" t="s">
        <v>358</v>
      </c>
      <c r="AN1" s="12" t="s">
        <v>359</v>
      </c>
      <c r="AO1" s="12" t="s">
        <v>360</v>
      </c>
      <c r="AP1" s="12" t="s">
        <v>361</v>
      </c>
      <c r="AQ1" s="12" t="s">
        <v>362</v>
      </c>
      <c r="AR1" s="12" t="s">
        <v>363</v>
      </c>
      <c r="AS1" s="12" t="s">
        <v>364</v>
      </c>
      <c r="AT1" s="12" t="s">
        <v>365</v>
      </c>
      <c r="AU1" s="12" t="s">
        <v>366</v>
      </c>
      <c r="AV1" s="12" t="s">
        <v>367</v>
      </c>
      <c r="AW1" s="12" t="s">
        <v>368</v>
      </c>
      <c r="AX1" s="12" t="s">
        <v>369</v>
      </c>
      <c r="AY1" s="12" t="s">
        <v>370</v>
      </c>
      <c r="AZ1" s="12" t="s">
        <v>371</v>
      </c>
      <c r="BA1" s="12" t="s">
        <v>372</v>
      </c>
      <c r="BB1" s="12" t="s">
        <v>373</v>
      </c>
      <c r="BC1" s="12" t="s">
        <v>374</v>
      </c>
      <c r="BD1" s="12" t="s">
        <v>375</v>
      </c>
      <c r="BE1" s="12" t="s">
        <v>376</v>
      </c>
      <c r="BF1" s="12" t="s">
        <v>377</v>
      </c>
      <c r="BG1" s="12" t="s">
        <v>378</v>
      </c>
      <c r="BH1" s="12" t="s">
        <v>379</v>
      </c>
      <c r="BI1" s="12" t="s">
        <v>380</v>
      </c>
      <c r="BJ1" s="12" t="s">
        <v>381</v>
      </c>
      <c r="BK1" s="12" t="s">
        <v>382</v>
      </c>
      <c r="BL1" s="12" t="s">
        <v>383</v>
      </c>
      <c r="BM1" s="12" t="s">
        <v>384</v>
      </c>
      <c r="BN1" s="12" t="s">
        <v>385</v>
      </c>
      <c r="BO1" s="12" t="s">
        <v>386</v>
      </c>
      <c r="BP1" s="12" t="s">
        <v>387</v>
      </c>
      <c r="BQ1" s="12" t="s">
        <v>388</v>
      </c>
      <c r="BR1" s="12" t="s">
        <v>389</v>
      </c>
      <c r="BS1" s="12" t="s">
        <v>390</v>
      </c>
      <c r="BT1" s="12" t="s">
        <v>391</v>
      </c>
      <c r="BU1" s="12" t="s">
        <v>392</v>
      </c>
      <c r="BV1" s="12" t="s">
        <v>393</v>
      </c>
      <c r="BW1" s="12" t="s">
        <v>394</v>
      </c>
      <c r="BX1" s="12" t="s">
        <v>395</v>
      </c>
      <c r="BY1" s="12" t="s">
        <v>396</v>
      </c>
      <c r="BZ1" s="12" t="s">
        <v>397</v>
      </c>
      <c r="CA1" s="12" t="s">
        <v>398</v>
      </c>
      <c r="CB1" s="12" t="s">
        <v>399</v>
      </c>
      <c r="CC1" s="20" t="s">
        <v>400</v>
      </c>
      <c r="CD1" s="20" t="s">
        <v>401</v>
      </c>
      <c r="CE1" s="20" t="s">
        <v>402</v>
      </c>
      <c r="CF1" s="20" t="s">
        <v>403</v>
      </c>
      <c r="CG1" s="20" t="s">
        <v>404</v>
      </c>
      <c r="CH1" s="20" t="s">
        <v>405</v>
      </c>
      <c r="CI1" s="20" t="s">
        <v>406</v>
      </c>
      <c r="CJ1" s="20" t="s">
        <v>407</v>
      </c>
      <c r="CK1" s="20" t="s">
        <v>408</v>
      </c>
      <c r="CL1" s="20" t="s">
        <v>409</v>
      </c>
      <c r="CM1" s="20" t="s">
        <v>410</v>
      </c>
      <c r="CN1" s="20" t="s">
        <v>411</v>
      </c>
      <c r="CO1" s="20" t="s">
        <v>412</v>
      </c>
      <c r="CP1" s="20" t="s">
        <v>413</v>
      </c>
      <c r="CQ1" s="20" t="s">
        <v>414</v>
      </c>
    </row>
    <row r="2" spans="1:95">
      <c r="A2" s="21">
        <v>1</v>
      </c>
      <c r="B2" s="22">
        <v>1</v>
      </c>
      <c r="C2" s="22">
        <v>1</v>
      </c>
      <c r="D2" s="23">
        <v>40876</v>
      </c>
      <c r="E2" s="24">
        <v>1</v>
      </c>
      <c r="F2" s="22">
        <v>1991</v>
      </c>
      <c r="G2" s="25">
        <v>1</v>
      </c>
      <c r="H2" s="25">
        <v>1</v>
      </c>
      <c r="I2" s="25">
        <v>0</v>
      </c>
      <c r="J2" s="25">
        <v>1</v>
      </c>
      <c r="K2" s="25">
        <v>1</v>
      </c>
      <c r="L2" s="25">
        <v>2</v>
      </c>
      <c r="M2" s="25">
        <v>3</v>
      </c>
      <c r="N2" s="26">
        <v>0</v>
      </c>
      <c r="O2" s="22">
        <v>2</v>
      </c>
      <c r="P2" s="22">
        <v>1</v>
      </c>
      <c r="Q2" s="22">
        <v>8</v>
      </c>
      <c r="R2" s="22">
        <v>10</v>
      </c>
      <c r="S2" s="22">
        <v>0</v>
      </c>
      <c r="T2" s="22">
        <v>1</v>
      </c>
      <c r="U2" s="22">
        <v>1</v>
      </c>
      <c r="V2" s="22">
        <v>2</v>
      </c>
      <c r="W2" s="22">
        <v>1</v>
      </c>
      <c r="X2" s="22">
        <v>2</v>
      </c>
      <c r="Y2" s="22">
        <v>2</v>
      </c>
      <c r="Z2" s="22">
        <v>8</v>
      </c>
      <c r="AA2" s="22">
        <v>0</v>
      </c>
      <c r="AB2" s="22"/>
      <c r="AC2" s="26">
        <v>4</v>
      </c>
      <c r="AD2" s="26">
        <v>4</v>
      </c>
      <c r="AE2" s="26">
        <v>4</v>
      </c>
      <c r="AF2" s="26">
        <v>3</v>
      </c>
      <c r="AG2" s="26">
        <v>4</v>
      </c>
      <c r="AH2" s="26">
        <v>3</v>
      </c>
      <c r="AI2" s="26">
        <v>3</v>
      </c>
      <c r="AJ2" s="22"/>
      <c r="AK2" s="22">
        <f>COUNTIF(AB2:AJ2,1)</f>
        <v>0</v>
      </c>
      <c r="AL2" s="22">
        <f>COUNTIF(AB2:AJ2,2)</f>
        <v>0</v>
      </c>
      <c r="AM2" s="22">
        <f>COUNTIF(AB2:AJ2,3)</f>
        <v>3</v>
      </c>
      <c r="AN2" s="22">
        <f>COUNTIF(AB2:AJ2,4)</f>
        <v>4</v>
      </c>
      <c r="AO2" s="22">
        <v>0</v>
      </c>
      <c r="AP2" s="22">
        <v>1</v>
      </c>
      <c r="AQ2" s="22">
        <v>1</v>
      </c>
      <c r="AR2" s="22">
        <v>1</v>
      </c>
      <c r="AS2" s="22">
        <v>1</v>
      </c>
      <c r="AT2" s="22">
        <v>1</v>
      </c>
      <c r="AU2" s="22"/>
      <c r="AV2" s="22">
        <v>1</v>
      </c>
      <c r="AW2" s="22">
        <v>0</v>
      </c>
      <c r="AX2" s="22"/>
      <c r="AY2" s="26">
        <v>4</v>
      </c>
      <c r="AZ2" s="26">
        <v>4</v>
      </c>
      <c r="BA2" s="26">
        <v>4</v>
      </c>
      <c r="BB2" s="26">
        <v>3</v>
      </c>
      <c r="BC2" s="26">
        <v>4</v>
      </c>
      <c r="BD2" s="26">
        <v>3</v>
      </c>
      <c r="BE2" s="26">
        <v>3</v>
      </c>
      <c r="BF2" s="22"/>
      <c r="BG2" s="22">
        <f>COUNTIF(AX2:BF2,1)</f>
        <v>0</v>
      </c>
      <c r="BH2" s="22">
        <f>COUNTIF(AX2:BF2,2)</f>
        <v>0</v>
      </c>
      <c r="BI2" s="22">
        <f>COUNTIF(AX2:BF2,3)</f>
        <v>3</v>
      </c>
      <c r="BJ2" s="22">
        <f>COUNTIF(AX2:BF2,4)</f>
        <v>4</v>
      </c>
      <c r="BK2" s="22">
        <f t="shared" ref="BK2:BK33" si="0">IF(AND(OR(AB2=3,AB2=4),OR(AX2=3,AX2=4)),1,0)</f>
        <v>0</v>
      </c>
      <c r="BL2" s="22">
        <f t="shared" ref="BL2:BL33" si="1">IF(AND(OR(AC2=3,AC2=4),OR(AY2=3,AY2=4)),1,0)</f>
        <v>1</v>
      </c>
      <c r="BM2" s="22">
        <f t="shared" ref="BM2:BM33" si="2">IF(AND(OR(AD2=3,AD2=4),OR(AZ2=3,AZ2=4)),1,0)</f>
        <v>1</v>
      </c>
      <c r="BN2" s="22">
        <f t="shared" ref="BN2:BN33" si="3">IF(AND(OR(AE2=3,AE2=4),OR(BA2=3,BA2=4)),1,0)</f>
        <v>1</v>
      </c>
      <c r="BO2" s="22">
        <f t="shared" ref="BO2:BO33" si="4">IF(AND(OR(AF2=3,AF2=4),OR(BB2=3,BB2=4)),1,0)</f>
        <v>1</v>
      </c>
      <c r="BP2" s="22">
        <f t="shared" ref="BP2:BP33" si="5">IF(AND(OR(AG2=3,AG2=4),OR(BC2=3,BC2=4)),1,0)</f>
        <v>1</v>
      </c>
      <c r="BQ2" s="22">
        <f t="shared" ref="BQ2:BQ33" si="6">IF(AND(OR(AH2=3,AH2=4),OR(BD2=3,BD2=4)),1,0)</f>
        <v>1</v>
      </c>
      <c r="BR2" s="22">
        <f t="shared" ref="BR2:BR33" si="7">IF(AND(OR(AI2=3,AI2=4),OR(BE2=3,BE2=4)),1,0)</f>
        <v>1</v>
      </c>
      <c r="BS2" s="22">
        <f t="shared" ref="BS2:BS33" si="8">IF(AND(OR(AJ2=3,AJ2=4),OR(BF2=3,BF2=4)),1,0)</f>
        <v>0</v>
      </c>
      <c r="BT2" s="22"/>
      <c r="BU2" s="22">
        <f>SUM(Raw!AR2:AR9)</f>
        <v>4</v>
      </c>
      <c r="BV2" s="22">
        <f>SUM(Raw!AS2:AS9)</f>
        <v>5</v>
      </c>
      <c r="BW2" s="22">
        <f>SUM(Raw!AT2:AT9)</f>
        <v>3</v>
      </c>
      <c r="BX2" s="22">
        <f>SUM(Raw!AU2:AU9)</f>
        <v>3</v>
      </c>
      <c r="BY2" s="22">
        <f>SUM(Raw!AV2:AV9)</f>
        <v>6</v>
      </c>
      <c r="BZ2" s="22">
        <f>SUM(Raw!AW2:AW9)</f>
        <v>0</v>
      </c>
      <c r="CA2" s="22">
        <f>SUM(Raw!AX2:AX9)</f>
        <v>2</v>
      </c>
      <c r="CB2" s="22"/>
      <c r="CC2" s="27">
        <v>2</v>
      </c>
      <c r="CD2" s="27">
        <v>2</v>
      </c>
      <c r="CE2" s="27">
        <v>2</v>
      </c>
      <c r="CF2" s="27">
        <v>2</v>
      </c>
      <c r="CG2" s="27">
        <v>2</v>
      </c>
      <c r="CH2" s="27">
        <v>2</v>
      </c>
      <c r="CI2" s="27">
        <v>1</v>
      </c>
      <c r="CJ2" s="27">
        <v>2</v>
      </c>
      <c r="CK2" s="27">
        <v>2</v>
      </c>
      <c r="CL2" s="27">
        <v>1</v>
      </c>
      <c r="CM2" s="27">
        <v>1</v>
      </c>
      <c r="CN2" s="27">
        <v>2</v>
      </c>
      <c r="CO2" s="27">
        <v>1</v>
      </c>
      <c r="CP2" s="27">
        <v>2</v>
      </c>
      <c r="CQ2" s="27">
        <v>1</v>
      </c>
    </row>
    <row r="3" spans="1:95">
      <c r="A3" s="28">
        <v>1</v>
      </c>
      <c r="B3" s="15">
        <v>1</v>
      </c>
      <c r="C3" s="15">
        <v>2</v>
      </c>
      <c r="D3" s="29">
        <v>40876</v>
      </c>
      <c r="E3" s="30">
        <v>1</v>
      </c>
      <c r="F3" s="15">
        <v>1988</v>
      </c>
      <c r="G3" s="31">
        <v>4</v>
      </c>
      <c r="H3" s="31">
        <v>1</v>
      </c>
      <c r="I3" s="31">
        <v>0</v>
      </c>
      <c r="J3" s="31">
        <v>2</v>
      </c>
      <c r="K3" s="31">
        <v>1</v>
      </c>
      <c r="L3" s="31">
        <v>2</v>
      </c>
      <c r="M3" s="31">
        <v>3</v>
      </c>
      <c r="N3" s="32">
        <v>2</v>
      </c>
      <c r="O3" s="15">
        <v>0</v>
      </c>
      <c r="P3" s="15">
        <v>1</v>
      </c>
      <c r="Q3" s="15">
        <v>3</v>
      </c>
      <c r="R3" s="15">
        <v>8</v>
      </c>
      <c r="S3" s="15">
        <v>0</v>
      </c>
      <c r="T3" s="15">
        <v>5</v>
      </c>
      <c r="U3" s="15">
        <v>2</v>
      </c>
      <c r="V3" s="15">
        <v>1</v>
      </c>
      <c r="W3" s="15">
        <v>1</v>
      </c>
      <c r="X3" s="15">
        <v>1</v>
      </c>
      <c r="Y3" s="15">
        <v>1</v>
      </c>
      <c r="Z3" s="15">
        <v>5</v>
      </c>
      <c r="AA3" s="15">
        <v>2</v>
      </c>
      <c r="AB3" s="32">
        <v>4</v>
      </c>
      <c r="AC3" s="15"/>
      <c r="AD3" s="32">
        <v>4</v>
      </c>
      <c r="AE3" s="32">
        <v>3</v>
      </c>
      <c r="AF3" s="32">
        <v>4</v>
      </c>
      <c r="AG3" s="32">
        <v>4</v>
      </c>
      <c r="AH3" s="32">
        <v>3</v>
      </c>
      <c r="AI3" s="32">
        <v>3</v>
      </c>
      <c r="AJ3" s="15"/>
      <c r="AK3" s="32">
        <f t="shared" ref="AK3:AK66" si="9">COUNTIF(AB3:AJ3,1)</f>
        <v>0</v>
      </c>
      <c r="AL3" s="32">
        <f t="shared" ref="AL3:AL66" si="10">COUNTIF(AB3:AJ3,2)</f>
        <v>0</v>
      </c>
      <c r="AM3" s="32">
        <f t="shared" ref="AM3:AM66" si="11">COUNTIF(AB3:AJ3,3)</f>
        <v>3</v>
      </c>
      <c r="AN3" s="32">
        <f t="shared" ref="AN3:AN66" si="12">COUNTIF(AB3:AJ3,4)</f>
        <v>4</v>
      </c>
      <c r="AO3" s="32">
        <v>1</v>
      </c>
      <c r="AP3" s="32">
        <v>0</v>
      </c>
      <c r="AQ3" s="32">
        <v>1</v>
      </c>
      <c r="AR3" s="32">
        <v>1</v>
      </c>
      <c r="AS3" s="32">
        <v>1</v>
      </c>
      <c r="AT3" s="32">
        <v>1</v>
      </c>
      <c r="AU3" s="32"/>
      <c r="AV3" s="32">
        <v>1</v>
      </c>
      <c r="AW3" s="32">
        <v>0</v>
      </c>
      <c r="AX3" s="32">
        <v>3</v>
      </c>
      <c r="AY3" s="15"/>
      <c r="AZ3" s="32">
        <v>4</v>
      </c>
      <c r="BA3" s="32">
        <v>3</v>
      </c>
      <c r="BB3" s="32">
        <v>3</v>
      </c>
      <c r="BC3" s="32">
        <v>4</v>
      </c>
      <c r="BD3" s="32">
        <v>2</v>
      </c>
      <c r="BE3" s="32">
        <v>3</v>
      </c>
      <c r="BF3" s="15"/>
      <c r="BG3" s="32">
        <f t="shared" ref="BG3:BG66" si="13">COUNTIF(AX3:BF3,1)</f>
        <v>0</v>
      </c>
      <c r="BH3" s="32">
        <f t="shared" ref="BH3:BH66" si="14">COUNTIF(AX3:BF3,2)</f>
        <v>1</v>
      </c>
      <c r="BI3" s="32">
        <f t="shared" ref="BI3:BI66" si="15">COUNTIF(AX3:BF3,3)</f>
        <v>4</v>
      </c>
      <c r="BJ3" s="32">
        <f t="shared" ref="BJ3:BJ66" si="16">COUNTIF(AX3:BF3,4)</f>
        <v>2</v>
      </c>
      <c r="BK3" s="32">
        <f t="shared" si="0"/>
        <v>1</v>
      </c>
      <c r="BL3" s="32">
        <f t="shared" si="1"/>
        <v>0</v>
      </c>
      <c r="BM3" s="32">
        <f t="shared" si="2"/>
        <v>1</v>
      </c>
      <c r="BN3" s="32">
        <f t="shared" si="3"/>
        <v>1</v>
      </c>
      <c r="BO3" s="32">
        <f t="shared" si="4"/>
        <v>1</v>
      </c>
      <c r="BP3" s="32">
        <f t="shared" si="5"/>
        <v>1</v>
      </c>
      <c r="BQ3" s="32">
        <f t="shared" si="6"/>
        <v>0</v>
      </c>
      <c r="BR3" s="32">
        <f t="shared" si="7"/>
        <v>1</v>
      </c>
      <c r="BS3" s="32">
        <f t="shared" si="8"/>
        <v>0</v>
      </c>
      <c r="BT3" s="15">
        <f>SUM(Raw!AR2:AR9)</f>
        <v>4</v>
      </c>
      <c r="BU3" s="15"/>
      <c r="BV3" s="15">
        <f>SUM(Raw!AZ2:AZ9)</f>
        <v>5</v>
      </c>
      <c r="BW3" s="15">
        <f>SUM(Raw!BA2:BA9)</f>
        <v>2</v>
      </c>
      <c r="BX3" s="15">
        <f>SUM(Raw!BB2:BB9)</f>
        <v>2</v>
      </c>
      <c r="BY3" s="15">
        <f>SUM(Raw!BC2:BC9)</f>
        <v>5</v>
      </c>
      <c r="BZ3" s="15">
        <f>SUM(Raw!BD2:BD9)</f>
        <v>0</v>
      </c>
      <c r="CA3" s="15">
        <f>SUM(Raw!BE2:BE9)</f>
        <v>3</v>
      </c>
      <c r="CB3" s="15"/>
      <c r="CC3" s="33">
        <v>2</v>
      </c>
      <c r="CD3" s="33">
        <v>2</v>
      </c>
      <c r="CE3" s="33">
        <v>1</v>
      </c>
      <c r="CF3" s="33">
        <v>2</v>
      </c>
      <c r="CG3" s="33">
        <v>1</v>
      </c>
      <c r="CH3" s="33">
        <v>2</v>
      </c>
      <c r="CI3" s="33">
        <v>1</v>
      </c>
      <c r="CJ3" s="33">
        <v>1</v>
      </c>
      <c r="CK3" s="33">
        <v>2</v>
      </c>
      <c r="CL3" s="33">
        <v>1</v>
      </c>
      <c r="CM3" s="33">
        <v>1</v>
      </c>
      <c r="CN3" s="33">
        <v>2</v>
      </c>
      <c r="CO3" s="33">
        <v>1</v>
      </c>
      <c r="CP3" s="33">
        <v>1</v>
      </c>
      <c r="CQ3" s="33">
        <v>2</v>
      </c>
    </row>
    <row r="4" spans="1:95">
      <c r="A4" s="28">
        <v>1</v>
      </c>
      <c r="B4" s="15">
        <v>1</v>
      </c>
      <c r="C4" s="15">
        <v>3</v>
      </c>
      <c r="D4" s="29">
        <v>40876</v>
      </c>
      <c r="E4" s="30">
        <v>1</v>
      </c>
      <c r="F4" s="15">
        <v>1987</v>
      </c>
      <c r="G4" s="31">
        <v>2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2">
        <v>3</v>
      </c>
      <c r="O4" s="15">
        <v>4</v>
      </c>
      <c r="P4" s="15">
        <v>0</v>
      </c>
      <c r="Q4" s="15">
        <v>12</v>
      </c>
      <c r="R4" s="15">
        <v>10</v>
      </c>
      <c r="S4" s="15">
        <v>1</v>
      </c>
      <c r="T4" s="15">
        <v>4</v>
      </c>
      <c r="U4" s="15">
        <v>2</v>
      </c>
      <c r="V4" s="15">
        <v>0</v>
      </c>
      <c r="W4" s="15">
        <v>1</v>
      </c>
      <c r="X4" s="15">
        <v>3</v>
      </c>
      <c r="Y4" s="15">
        <v>3</v>
      </c>
      <c r="Z4" s="15">
        <v>5</v>
      </c>
      <c r="AA4" s="15">
        <v>0</v>
      </c>
      <c r="AB4" s="32">
        <v>4</v>
      </c>
      <c r="AC4" s="32">
        <v>4</v>
      </c>
      <c r="AD4" s="15"/>
      <c r="AE4" s="32">
        <v>4</v>
      </c>
      <c r="AF4" s="32">
        <v>4</v>
      </c>
      <c r="AG4" s="32">
        <v>4</v>
      </c>
      <c r="AH4" s="32">
        <v>4</v>
      </c>
      <c r="AI4" s="32">
        <v>4</v>
      </c>
      <c r="AJ4" s="15"/>
      <c r="AK4" s="32">
        <f t="shared" si="9"/>
        <v>0</v>
      </c>
      <c r="AL4" s="32">
        <f t="shared" si="10"/>
        <v>0</v>
      </c>
      <c r="AM4" s="32">
        <f t="shared" si="11"/>
        <v>0</v>
      </c>
      <c r="AN4" s="32">
        <f t="shared" si="12"/>
        <v>7</v>
      </c>
      <c r="AO4" s="32">
        <v>1</v>
      </c>
      <c r="AP4" s="32">
        <v>1</v>
      </c>
      <c r="AQ4" s="32">
        <v>0</v>
      </c>
      <c r="AR4" s="32">
        <v>1</v>
      </c>
      <c r="AS4" s="32">
        <v>1</v>
      </c>
      <c r="AT4" s="32">
        <v>1</v>
      </c>
      <c r="AU4" s="32"/>
      <c r="AV4" s="32">
        <v>1</v>
      </c>
      <c r="AW4" s="32">
        <v>0</v>
      </c>
      <c r="AX4" s="32">
        <v>3</v>
      </c>
      <c r="AY4" s="32">
        <v>4</v>
      </c>
      <c r="AZ4" s="15"/>
      <c r="BA4" s="32">
        <v>3</v>
      </c>
      <c r="BB4" s="32">
        <v>4</v>
      </c>
      <c r="BC4" s="32">
        <v>3</v>
      </c>
      <c r="BD4" s="32">
        <v>3</v>
      </c>
      <c r="BE4" s="32">
        <v>3</v>
      </c>
      <c r="BF4" s="15"/>
      <c r="BG4" s="32">
        <f t="shared" si="13"/>
        <v>0</v>
      </c>
      <c r="BH4" s="32">
        <f t="shared" si="14"/>
        <v>0</v>
      </c>
      <c r="BI4" s="32">
        <f t="shared" si="15"/>
        <v>5</v>
      </c>
      <c r="BJ4" s="32">
        <f t="shared" si="16"/>
        <v>2</v>
      </c>
      <c r="BK4" s="32">
        <f t="shared" si="0"/>
        <v>1</v>
      </c>
      <c r="BL4" s="32">
        <f t="shared" si="1"/>
        <v>1</v>
      </c>
      <c r="BM4" s="32">
        <f t="shared" si="2"/>
        <v>0</v>
      </c>
      <c r="BN4" s="32">
        <f t="shared" si="3"/>
        <v>1</v>
      </c>
      <c r="BO4" s="32">
        <f t="shared" si="4"/>
        <v>1</v>
      </c>
      <c r="BP4" s="32">
        <f t="shared" si="5"/>
        <v>1</v>
      </c>
      <c r="BQ4" s="32">
        <f t="shared" si="6"/>
        <v>1</v>
      </c>
      <c r="BR4" s="32">
        <f t="shared" si="7"/>
        <v>1</v>
      </c>
      <c r="BS4" s="32">
        <f t="shared" si="8"/>
        <v>0</v>
      </c>
      <c r="BT4" s="15">
        <f>SUM(Raw!AS2:AS9)</f>
        <v>5</v>
      </c>
      <c r="BU4" s="15">
        <f>SUM(Raw!AZ2:AZ9)</f>
        <v>5</v>
      </c>
      <c r="BV4" s="15"/>
      <c r="BW4" s="15">
        <f>SUM(Raw!BG2:BG9)</f>
        <v>5</v>
      </c>
      <c r="BX4" s="15">
        <f>SUM(Raw!BH2:BH9)</f>
        <v>4</v>
      </c>
      <c r="BY4" s="15">
        <f>SUM(Raw!BI2:BI9)</f>
        <v>3</v>
      </c>
      <c r="BZ4" s="15">
        <f>SUM(Raw!BJ2:BJ9)</f>
        <v>2</v>
      </c>
      <c r="CA4" s="15">
        <f>SUM(Raw!BK2:BK9)</f>
        <v>3</v>
      </c>
      <c r="CB4" s="15"/>
      <c r="CC4" s="33">
        <v>1</v>
      </c>
      <c r="CD4" s="33">
        <v>2</v>
      </c>
      <c r="CE4" s="33">
        <v>2</v>
      </c>
      <c r="CF4" s="33">
        <v>2</v>
      </c>
      <c r="CG4" s="33">
        <v>2</v>
      </c>
      <c r="CH4" s="33">
        <v>2</v>
      </c>
      <c r="CI4" s="33">
        <v>0</v>
      </c>
      <c r="CJ4" s="33">
        <v>2</v>
      </c>
      <c r="CK4" s="33">
        <v>2</v>
      </c>
      <c r="CL4" s="33">
        <v>0</v>
      </c>
      <c r="CM4" s="33">
        <v>2</v>
      </c>
      <c r="CN4" s="33">
        <v>1</v>
      </c>
      <c r="CO4" s="33">
        <v>0</v>
      </c>
      <c r="CP4" s="33">
        <v>2</v>
      </c>
      <c r="CQ4" s="33">
        <v>1</v>
      </c>
    </row>
    <row r="5" spans="1:95">
      <c r="A5" s="28">
        <v>1</v>
      </c>
      <c r="B5" s="15">
        <v>1</v>
      </c>
      <c r="C5" s="15">
        <v>4</v>
      </c>
      <c r="D5" s="29">
        <v>40876</v>
      </c>
      <c r="E5" s="30">
        <v>1</v>
      </c>
      <c r="F5" s="15">
        <v>1986</v>
      </c>
      <c r="G5" s="31">
        <v>4</v>
      </c>
      <c r="H5" s="15">
        <v>2</v>
      </c>
      <c r="I5" s="31">
        <v>1</v>
      </c>
      <c r="J5" s="31">
        <v>1</v>
      </c>
      <c r="K5" s="31">
        <v>2</v>
      </c>
      <c r="L5" s="31">
        <v>2</v>
      </c>
      <c r="M5" s="32">
        <v>5</v>
      </c>
      <c r="N5" s="32">
        <v>2</v>
      </c>
      <c r="O5" s="15">
        <v>5</v>
      </c>
      <c r="P5" s="15">
        <v>1</v>
      </c>
      <c r="Q5" s="15">
        <v>9</v>
      </c>
      <c r="R5" s="15">
        <v>2</v>
      </c>
      <c r="S5" s="15">
        <v>0</v>
      </c>
      <c r="T5" s="15">
        <v>1</v>
      </c>
      <c r="U5" s="15">
        <v>2</v>
      </c>
      <c r="V5" s="15">
        <v>2</v>
      </c>
      <c r="W5" s="15">
        <v>1</v>
      </c>
      <c r="X5" s="15">
        <v>2</v>
      </c>
      <c r="Y5" s="15">
        <v>2</v>
      </c>
      <c r="Z5" s="15">
        <v>3</v>
      </c>
      <c r="AA5" s="15">
        <v>2</v>
      </c>
      <c r="AB5" s="32">
        <v>3</v>
      </c>
      <c r="AC5" s="32">
        <v>3</v>
      </c>
      <c r="AD5" s="32">
        <v>4</v>
      </c>
      <c r="AE5" s="15"/>
      <c r="AF5" s="32">
        <v>4</v>
      </c>
      <c r="AG5" s="32">
        <v>3</v>
      </c>
      <c r="AH5" s="32">
        <v>3</v>
      </c>
      <c r="AI5" s="32">
        <v>3</v>
      </c>
      <c r="AJ5" s="15"/>
      <c r="AK5" s="32">
        <f t="shared" si="9"/>
        <v>0</v>
      </c>
      <c r="AL5" s="32">
        <f t="shared" si="10"/>
        <v>0</v>
      </c>
      <c r="AM5" s="32">
        <f t="shared" si="11"/>
        <v>5</v>
      </c>
      <c r="AN5" s="32">
        <f t="shared" si="12"/>
        <v>2</v>
      </c>
      <c r="AO5" s="32">
        <v>1</v>
      </c>
      <c r="AP5" s="32">
        <v>1</v>
      </c>
      <c r="AQ5" s="32">
        <v>1</v>
      </c>
      <c r="AR5" s="32">
        <v>0</v>
      </c>
      <c r="AS5" s="32">
        <v>1</v>
      </c>
      <c r="AT5" s="32">
        <v>1</v>
      </c>
      <c r="AU5" s="32"/>
      <c r="AV5" s="32">
        <v>1</v>
      </c>
      <c r="AW5" s="32">
        <v>0</v>
      </c>
      <c r="AX5" s="32">
        <v>3</v>
      </c>
      <c r="AY5" s="32">
        <v>3</v>
      </c>
      <c r="AZ5" s="32">
        <v>3</v>
      </c>
      <c r="BA5" s="15"/>
      <c r="BB5" s="32">
        <v>3</v>
      </c>
      <c r="BC5" s="32">
        <v>3</v>
      </c>
      <c r="BD5" s="32">
        <v>3</v>
      </c>
      <c r="BE5" s="32">
        <v>3</v>
      </c>
      <c r="BF5" s="15"/>
      <c r="BG5" s="32">
        <f t="shared" si="13"/>
        <v>0</v>
      </c>
      <c r="BH5" s="32">
        <f t="shared" si="14"/>
        <v>0</v>
      </c>
      <c r="BI5" s="32">
        <f t="shared" si="15"/>
        <v>7</v>
      </c>
      <c r="BJ5" s="32">
        <f t="shared" si="16"/>
        <v>0</v>
      </c>
      <c r="BK5" s="32">
        <f t="shared" si="0"/>
        <v>1</v>
      </c>
      <c r="BL5" s="32">
        <f t="shared" si="1"/>
        <v>1</v>
      </c>
      <c r="BM5" s="32">
        <f t="shared" si="2"/>
        <v>1</v>
      </c>
      <c r="BN5" s="32">
        <f t="shared" si="3"/>
        <v>0</v>
      </c>
      <c r="BO5" s="32">
        <f t="shared" si="4"/>
        <v>1</v>
      </c>
      <c r="BP5" s="32">
        <f t="shared" si="5"/>
        <v>1</v>
      </c>
      <c r="BQ5" s="32">
        <f t="shared" si="6"/>
        <v>1</v>
      </c>
      <c r="BR5" s="32">
        <f t="shared" si="7"/>
        <v>1</v>
      </c>
      <c r="BS5" s="32">
        <f t="shared" si="8"/>
        <v>0</v>
      </c>
      <c r="BT5" s="15">
        <f>SUM(Raw!AT2:AT9)</f>
        <v>3</v>
      </c>
      <c r="BU5" s="15">
        <f>SUM(Raw!BA2:BA9)</f>
        <v>2</v>
      </c>
      <c r="BV5" s="15">
        <f>SUM(Raw!BG2:BG9)</f>
        <v>5</v>
      </c>
      <c r="BW5" s="15"/>
      <c r="BX5" s="15">
        <f>SUM(Raw!BM2:BM9)</f>
        <v>2</v>
      </c>
      <c r="BY5" s="15">
        <f>SUM(Raw!BN2:BN9)</f>
        <v>1</v>
      </c>
      <c r="BZ5" s="15">
        <f>SUM(Raw!BO2:BO9)</f>
        <v>0</v>
      </c>
      <c r="CA5" s="15">
        <f>SUM(Raw!BP2:BP9)</f>
        <v>2</v>
      </c>
      <c r="CB5" s="15"/>
      <c r="CC5" s="33">
        <v>1</v>
      </c>
      <c r="CD5" s="33">
        <v>1</v>
      </c>
      <c r="CE5" s="33">
        <v>1</v>
      </c>
      <c r="CF5" s="33">
        <v>2</v>
      </c>
      <c r="CG5" s="33">
        <v>1</v>
      </c>
      <c r="CH5" s="33">
        <v>2</v>
      </c>
      <c r="CI5" s="33">
        <v>1</v>
      </c>
      <c r="CJ5" s="33">
        <v>1</v>
      </c>
      <c r="CK5" s="33">
        <v>1</v>
      </c>
      <c r="CL5" s="33">
        <v>1</v>
      </c>
      <c r="CM5" s="33">
        <v>2</v>
      </c>
      <c r="CN5" s="33">
        <v>1</v>
      </c>
      <c r="CO5" s="33">
        <v>1</v>
      </c>
      <c r="CP5" s="33">
        <v>1</v>
      </c>
      <c r="CQ5" s="33">
        <v>2</v>
      </c>
    </row>
    <row r="6" spans="1:95">
      <c r="A6" s="28">
        <v>1</v>
      </c>
      <c r="B6" s="15">
        <v>1</v>
      </c>
      <c r="C6" s="15">
        <v>5</v>
      </c>
      <c r="D6" s="29">
        <v>40876</v>
      </c>
      <c r="E6" s="30">
        <v>1</v>
      </c>
      <c r="F6" s="15">
        <v>1989</v>
      </c>
      <c r="G6" s="31">
        <v>3</v>
      </c>
      <c r="H6" s="31">
        <v>1</v>
      </c>
      <c r="I6" s="31">
        <v>0</v>
      </c>
      <c r="J6" s="31">
        <v>1</v>
      </c>
      <c r="K6" s="31">
        <v>1</v>
      </c>
      <c r="L6" s="31">
        <v>1</v>
      </c>
      <c r="M6" s="31">
        <v>3</v>
      </c>
      <c r="N6" s="32">
        <v>0</v>
      </c>
      <c r="O6" s="15">
        <v>2</v>
      </c>
      <c r="P6" s="15">
        <v>1</v>
      </c>
      <c r="Q6" s="15">
        <v>5</v>
      </c>
      <c r="R6" s="15">
        <v>2</v>
      </c>
      <c r="S6" s="15">
        <v>0</v>
      </c>
      <c r="T6" s="15">
        <v>3</v>
      </c>
      <c r="U6" s="15">
        <v>1</v>
      </c>
      <c r="V6" s="15">
        <v>2</v>
      </c>
      <c r="W6" s="15">
        <v>1</v>
      </c>
      <c r="X6" s="15">
        <v>3</v>
      </c>
      <c r="Y6" s="15">
        <v>3</v>
      </c>
      <c r="Z6" s="15">
        <v>7</v>
      </c>
      <c r="AA6" s="15">
        <v>0</v>
      </c>
      <c r="AB6" s="32">
        <v>4</v>
      </c>
      <c r="AC6" s="32">
        <v>4</v>
      </c>
      <c r="AD6" s="32">
        <v>4</v>
      </c>
      <c r="AE6" s="32">
        <v>4</v>
      </c>
      <c r="AF6" s="15"/>
      <c r="AG6" s="32">
        <v>4</v>
      </c>
      <c r="AH6" s="32">
        <v>4</v>
      </c>
      <c r="AI6" s="32">
        <v>4</v>
      </c>
      <c r="AJ6" s="15"/>
      <c r="AK6" s="32">
        <f t="shared" si="9"/>
        <v>0</v>
      </c>
      <c r="AL6" s="32">
        <f t="shared" si="10"/>
        <v>0</v>
      </c>
      <c r="AM6" s="32">
        <f t="shared" si="11"/>
        <v>0</v>
      </c>
      <c r="AN6" s="32">
        <f t="shared" si="12"/>
        <v>7</v>
      </c>
      <c r="AO6" s="32">
        <v>1</v>
      </c>
      <c r="AP6" s="32">
        <v>1</v>
      </c>
      <c r="AQ6" s="32">
        <v>1</v>
      </c>
      <c r="AR6" s="32">
        <v>1</v>
      </c>
      <c r="AS6" s="32">
        <v>0</v>
      </c>
      <c r="AT6" s="32">
        <v>1</v>
      </c>
      <c r="AU6" s="32"/>
      <c r="AV6" s="32">
        <v>1</v>
      </c>
      <c r="AW6" s="32">
        <v>0</v>
      </c>
      <c r="AX6" s="32">
        <v>4</v>
      </c>
      <c r="AY6" s="32">
        <v>4</v>
      </c>
      <c r="AZ6" s="32">
        <v>4</v>
      </c>
      <c r="BA6" s="32">
        <v>4</v>
      </c>
      <c r="BB6" s="15"/>
      <c r="BC6" s="32">
        <v>4</v>
      </c>
      <c r="BD6" s="32">
        <v>4</v>
      </c>
      <c r="BE6" s="32">
        <v>4</v>
      </c>
      <c r="BF6" s="15"/>
      <c r="BG6" s="32">
        <f t="shared" si="13"/>
        <v>0</v>
      </c>
      <c r="BH6" s="32">
        <f t="shared" si="14"/>
        <v>0</v>
      </c>
      <c r="BI6" s="32">
        <f t="shared" si="15"/>
        <v>0</v>
      </c>
      <c r="BJ6" s="32">
        <f t="shared" si="16"/>
        <v>7</v>
      </c>
      <c r="BK6" s="32">
        <f t="shared" si="0"/>
        <v>1</v>
      </c>
      <c r="BL6" s="32">
        <f t="shared" si="1"/>
        <v>1</v>
      </c>
      <c r="BM6" s="32">
        <f t="shared" si="2"/>
        <v>1</v>
      </c>
      <c r="BN6" s="32">
        <f t="shared" si="3"/>
        <v>1</v>
      </c>
      <c r="BO6" s="32">
        <f t="shared" si="4"/>
        <v>0</v>
      </c>
      <c r="BP6" s="32">
        <f t="shared" si="5"/>
        <v>1</v>
      </c>
      <c r="BQ6" s="32">
        <f t="shared" si="6"/>
        <v>1</v>
      </c>
      <c r="BR6" s="32">
        <f t="shared" si="7"/>
        <v>1</v>
      </c>
      <c r="BS6" s="32">
        <f t="shared" si="8"/>
        <v>0</v>
      </c>
      <c r="BT6" s="15">
        <f>SUM(Raw!AU2:AU9)</f>
        <v>3</v>
      </c>
      <c r="BU6" s="15">
        <f>SUM(Raw!BB2:BB9)</f>
        <v>2</v>
      </c>
      <c r="BV6" s="15">
        <f>SUM(Raw!BH2:BH9)</f>
        <v>4</v>
      </c>
      <c r="BW6" s="15">
        <f>SUM(Raw!BM2:BM9)</f>
        <v>2</v>
      </c>
      <c r="BX6" s="15"/>
      <c r="BY6" s="15">
        <f>SUM(Raw!BR2:BR9)</f>
        <v>3</v>
      </c>
      <c r="BZ6" s="15">
        <f>SUM(Raw!BS2:BS9)</f>
        <v>2</v>
      </c>
      <c r="CA6" s="15">
        <f>SUM(Raw!BT2:BT9)</f>
        <v>1</v>
      </c>
      <c r="CB6" s="15"/>
      <c r="CC6" s="33">
        <v>2</v>
      </c>
      <c r="CD6" s="33">
        <v>2</v>
      </c>
      <c r="CE6" s="33">
        <v>2</v>
      </c>
      <c r="CF6" s="33">
        <v>2</v>
      </c>
      <c r="CG6" s="33">
        <v>2</v>
      </c>
      <c r="CH6" s="33">
        <v>2</v>
      </c>
      <c r="CI6" s="33">
        <v>1</v>
      </c>
      <c r="CJ6" s="33">
        <v>2</v>
      </c>
      <c r="CK6" s="33">
        <v>2</v>
      </c>
      <c r="CL6" s="33">
        <v>1</v>
      </c>
      <c r="CM6" s="33">
        <v>2</v>
      </c>
      <c r="CN6" s="33">
        <v>2</v>
      </c>
      <c r="CO6" s="33">
        <v>1</v>
      </c>
      <c r="CP6" s="33">
        <v>2</v>
      </c>
      <c r="CQ6" s="33">
        <v>2</v>
      </c>
    </row>
    <row r="7" spans="1:95">
      <c r="A7" s="28">
        <v>1</v>
      </c>
      <c r="B7" s="15">
        <v>1</v>
      </c>
      <c r="C7" s="15">
        <v>6</v>
      </c>
      <c r="D7" s="29">
        <v>40876</v>
      </c>
      <c r="E7" s="30">
        <v>1</v>
      </c>
      <c r="F7" s="15">
        <v>1984</v>
      </c>
      <c r="G7" s="31">
        <v>5</v>
      </c>
      <c r="H7" s="31">
        <v>1</v>
      </c>
      <c r="I7" s="31">
        <v>0</v>
      </c>
      <c r="J7" s="31">
        <v>2</v>
      </c>
      <c r="K7" s="31">
        <v>1</v>
      </c>
      <c r="L7" s="31">
        <v>2</v>
      </c>
      <c r="M7" s="31">
        <v>0</v>
      </c>
      <c r="N7" s="32">
        <v>0</v>
      </c>
      <c r="O7" s="15">
        <v>1</v>
      </c>
      <c r="P7" s="15">
        <v>1</v>
      </c>
      <c r="Q7" s="15">
        <v>11</v>
      </c>
      <c r="R7" s="15">
        <v>10</v>
      </c>
      <c r="S7" s="15">
        <v>1</v>
      </c>
      <c r="T7" s="15">
        <v>2</v>
      </c>
      <c r="U7" s="15">
        <v>2</v>
      </c>
      <c r="V7" s="15">
        <v>0</v>
      </c>
      <c r="W7" s="15">
        <v>2</v>
      </c>
      <c r="X7" s="15">
        <v>0</v>
      </c>
      <c r="Y7" s="15">
        <v>0</v>
      </c>
      <c r="Z7" s="15">
        <v>8</v>
      </c>
      <c r="AA7" s="15">
        <v>1</v>
      </c>
      <c r="AB7" s="32">
        <v>4</v>
      </c>
      <c r="AC7" s="32">
        <v>4</v>
      </c>
      <c r="AD7" s="32">
        <v>4</v>
      </c>
      <c r="AE7" s="32">
        <v>4</v>
      </c>
      <c r="AF7" s="32">
        <v>4</v>
      </c>
      <c r="AG7" s="15"/>
      <c r="AH7" s="32">
        <v>2</v>
      </c>
      <c r="AI7" s="32">
        <v>4</v>
      </c>
      <c r="AJ7" s="15"/>
      <c r="AK7" s="32">
        <f t="shared" si="9"/>
        <v>0</v>
      </c>
      <c r="AL7" s="32">
        <f t="shared" si="10"/>
        <v>1</v>
      </c>
      <c r="AM7" s="32">
        <f t="shared" si="11"/>
        <v>0</v>
      </c>
      <c r="AN7" s="32">
        <f t="shared" si="12"/>
        <v>6</v>
      </c>
      <c r="AO7" s="32">
        <v>1</v>
      </c>
      <c r="AP7" s="32">
        <v>1</v>
      </c>
      <c r="AQ7" s="32">
        <v>1</v>
      </c>
      <c r="AR7" s="32">
        <v>1</v>
      </c>
      <c r="AS7" s="32">
        <v>1</v>
      </c>
      <c r="AT7" s="32">
        <v>0</v>
      </c>
      <c r="AU7" s="32"/>
      <c r="AV7" s="32">
        <v>1</v>
      </c>
      <c r="AW7" s="32">
        <v>0</v>
      </c>
      <c r="AX7" s="32">
        <v>4</v>
      </c>
      <c r="AY7" s="32">
        <v>4</v>
      </c>
      <c r="AZ7" s="32">
        <v>3</v>
      </c>
      <c r="BA7" s="32">
        <v>3</v>
      </c>
      <c r="BB7" s="32">
        <v>3</v>
      </c>
      <c r="BC7" s="15"/>
      <c r="BD7" s="32">
        <v>2</v>
      </c>
      <c r="BE7" s="32">
        <v>3</v>
      </c>
      <c r="BF7" s="15"/>
      <c r="BG7" s="32">
        <f t="shared" si="13"/>
        <v>0</v>
      </c>
      <c r="BH7" s="32">
        <f t="shared" si="14"/>
        <v>1</v>
      </c>
      <c r="BI7" s="32">
        <f t="shared" si="15"/>
        <v>4</v>
      </c>
      <c r="BJ7" s="32">
        <f t="shared" si="16"/>
        <v>2</v>
      </c>
      <c r="BK7" s="32">
        <f t="shared" si="0"/>
        <v>1</v>
      </c>
      <c r="BL7" s="32">
        <f t="shared" si="1"/>
        <v>1</v>
      </c>
      <c r="BM7" s="32">
        <f t="shared" si="2"/>
        <v>1</v>
      </c>
      <c r="BN7" s="32">
        <f t="shared" si="3"/>
        <v>1</v>
      </c>
      <c r="BO7" s="32">
        <f t="shared" si="4"/>
        <v>1</v>
      </c>
      <c r="BP7" s="32">
        <f t="shared" si="5"/>
        <v>0</v>
      </c>
      <c r="BQ7" s="32">
        <f t="shared" si="6"/>
        <v>0</v>
      </c>
      <c r="BR7" s="32">
        <f t="shared" si="7"/>
        <v>1</v>
      </c>
      <c r="BS7" s="32">
        <f t="shared" si="8"/>
        <v>0</v>
      </c>
      <c r="BT7" s="15">
        <f>SUM(Raw!AV2:AV9)</f>
        <v>6</v>
      </c>
      <c r="BU7" s="15">
        <f>SUM(Raw!BC2:BC9)</f>
        <v>5</v>
      </c>
      <c r="BV7" s="15">
        <f>SUM(Raw!BI2:BI9)</f>
        <v>3</v>
      </c>
      <c r="BW7" s="15">
        <f>SUM(Raw!BN2:BN9)</f>
        <v>1</v>
      </c>
      <c r="BX7" s="15">
        <f>SUM(Raw!BR2:BR9)</f>
        <v>3</v>
      </c>
      <c r="BY7" s="15"/>
      <c r="BZ7" s="15">
        <f>SUM(Raw!BV2:BV9)</f>
        <v>0</v>
      </c>
      <c r="CA7" s="15">
        <f>SUM(Raw!BW2:BW9)</f>
        <v>3</v>
      </c>
      <c r="CB7" s="15"/>
      <c r="CC7" s="33">
        <v>2</v>
      </c>
      <c r="CD7" s="33">
        <v>2</v>
      </c>
      <c r="CE7" s="33">
        <v>1</v>
      </c>
      <c r="CF7" s="33">
        <v>2</v>
      </c>
      <c r="CG7" s="33">
        <v>1</v>
      </c>
      <c r="CH7" s="33">
        <v>2</v>
      </c>
      <c r="CI7" s="33">
        <v>0</v>
      </c>
      <c r="CJ7" s="33">
        <v>1</v>
      </c>
      <c r="CK7" s="33">
        <v>2</v>
      </c>
      <c r="CL7" s="33">
        <v>1</v>
      </c>
      <c r="CM7" s="33">
        <v>1</v>
      </c>
      <c r="CN7" s="33">
        <v>2</v>
      </c>
      <c r="CO7" s="33">
        <v>0</v>
      </c>
      <c r="CP7" s="33">
        <v>1</v>
      </c>
      <c r="CQ7" s="33">
        <v>2</v>
      </c>
    </row>
    <row r="8" spans="1:95">
      <c r="A8" s="28">
        <v>1</v>
      </c>
      <c r="B8" s="15">
        <v>1</v>
      </c>
      <c r="C8" s="15">
        <v>8</v>
      </c>
      <c r="D8" s="29">
        <v>40876</v>
      </c>
      <c r="E8" s="30">
        <v>1</v>
      </c>
      <c r="F8" s="15">
        <v>1989</v>
      </c>
      <c r="G8" s="31">
        <v>4</v>
      </c>
      <c r="H8" s="31">
        <v>1</v>
      </c>
      <c r="I8" s="31">
        <v>1</v>
      </c>
      <c r="J8" s="31">
        <v>2</v>
      </c>
      <c r="K8" s="31">
        <v>2</v>
      </c>
      <c r="L8" s="31">
        <v>2</v>
      </c>
      <c r="M8" s="31">
        <v>3</v>
      </c>
      <c r="N8" s="32">
        <v>0</v>
      </c>
      <c r="O8" s="15">
        <v>1</v>
      </c>
      <c r="P8" s="15">
        <v>0</v>
      </c>
      <c r="Q8" s="15">
        <v>8</v>
      </c>
      <c r="R8" s="15">
        <v>8</v>
      </c>
      <c r="S8" s="15">
        <v>1</v>
      </c>
      <c r="T8" s="15">
        <v>1</v>
      </c>
      <c r="U8" s="15">
        <v>1</v>
      </c>
      <c r="V8" s="15">
        <v>2</v>
      </c>
      <c r="W8" s="15">
        <v>1</v>
      </c>
      <c r="X8" s="15">
        <v>1</v>
      </c>
      <c r="Y8" s="15">
        <v>1</v>
      </c>
      <c r="Z8" s="15">
        <v>5</v>
      </c>
      <c r="AA8" s="15">
        <v>0</v>
      </c>
      <c r="AB8" s="32">
        <v>3</v>
      </c>
      <c r="AC8" s="32">
        <v>3</v>
      </c>
      <c r="AD8" s="32">
        <v>3</v>
      </c>
      <c r="AE8" s="32">
        <v>3</v>
      </c>
      <c r="AF8" s="32">
        <v>3</v>
      </c>
      <c r="AG8" s="32">
        <v>3</v>
      </c>
      <c r="AH8" s="32">
        <v>3</v>
      </c>
      <c r="AI8" s="15"/>
      <c r="AJ8" s="15"/>
      <c r="AK8" s="32">
        <f t="shared" si="9"/>
        <v>0</v>
      </c>
      <c r="AL8" s="32">
        <f t="shared" si="10"/>
        <v>0</v>
      </c>
      <c r="AM8" s="32">
        <f t="shared" si="11"/>
        <v>7</v>
      </c>
      <c r="AN8" s="32">
        <f t="shared" si="12"/>
        <v>0</v>
      </c>
      <c r="AO8" s="32">
        <v>1</v>
      </c>
      <c r="AP8" s="32">
        <v>1</v>
      </c>
      <c r="AQ8" s="32">
        <v>1</v>
      </c>
      <c r="AR8" s="32">
        <v>1</v>
      </c>
      <c r="AS8" s="32">
        <v>1</v>
      </c>
      <c r="AT8" s="32">
        <v>1</v>
      </c>
      <c r="AU8" s="32"/>
      <c r="AV8" s="32">
        <v>0</v>
      </c>
      <c r="AW8" s="32">
        <v>0</v>
      </c>
      <c r="AX8" s="32">
        <v>3</v>
      </c>
      <c r="AY8" s="32">
        <v>3</v>
      </c>
      <c r="AZ8" s="32">
        <v>3</v>
      </c>
      <c r="BA8" s="32">
        <v>3</v>
      </c>
      <c r="BB8" s="32">
        <v>3</v>
      </c>
      <c r="BC8" s="32">
        <v>3</v>
      </c>
      <c r="BD8" s="32">
        <v>3</v>
      </c>
      <c r="BE8" s="15"/>
      <c r="BF8" s="15"/>
      <c r="BG8" s="32">
        <f t="shared" si="13"/>
        <v>0</v>
      </c>
      <c r="BH8" s="32">
        <f t="shared" si="14"/>
        <v>0</v>
      </c>
      <c r="BI8" s="32">
        <f t="shared" si="15"/>
        <v>7</v>
      </c>
      <c r="BJ8" s="32">
        <f t="shared" si="16"/>
        <v>0</v>
      </c>
      <c r="BK8" s="32">
        <f t="shared" si="0"/>
        <v>1</v>
      </c>
      <c r="BL8" s="32">
        <f t="shared" si="1"/>
        <v>1</v>
      </c>
      <c r="BM8" s="32">
        <f t="shared" si="2"/>
        <v>1</v>
      </c>
      <c r="BN8" s="32">
        <f t="shared" si="3"/>
        <v>1</v>
      </c>
      <c r="BO8" s="32">
        <f t="shared" si="4"/>
        <v>1</v>
      </c>
      <c r="BP8" s="32">
        <f t="shared" si="5"/>
        <v>1</v>
      </c>
      <c r="BQ8" s="32">
        <f t="shared" si="6"/>
        <v>1</v>
      </c>
      <c r="BR8" s="32">
        <f t="shared" si="7"/>
        <v>0</v>
      </c>
      <c r="BS8" s="32">
        <f t="shared" si="8"/>
        <v>0</v>
      </c>
      <c r="BT8" s="15">
        <f>SUM(Raw!AX2:AX9)</f>
        <v>2</v>
      </c>
      <c r="BU8" s="15">
        <f>SUM(Raw!BE2:BE9)</f>
        <v>3</v>
      </c>
      <c r="BV8" s="15">
        <f>SUM(Raw!BK2:BK9)</f>
        <v>3</v>
      </c>
      <c r="BW8" s="15">
        <f>SUM(Raw!BP2:BP9)</f>
        <v>2</v>
      </c>
      <c r="BX8" s="15">
        <f>SUM(Raw!BT2:BT9)</f>
        <v>1</v>
      </c>
      <c r="BY8" s="15">
        <f>SUM(Raw!BW2:BW9)</f>
        <v>3</v>
      </c>
      <c r="BZ8" s="15">
        <f>SUM(Raw!BY2:BY9)</f>
        <v>0</v>
      </c>
      <c r="CA8" s="15"/>
      <c r="CB8" s="15"/>
      <c r="CC8" s="33">
        <v>1</v>
      </c>
      <c r="CD8" s="33">
        <v>1</v>
      </c>
      <c r="CE8" s="33">
        <v>1</v>
      </c>
      <c r="CF8" s="33">
        <v>2</v>
      </c>
      <c r="CG8" s="33">
        <v>1</v>
      </c>
      <c r="CH8" s="33">
        <v>2</v>
      </c>
      <c r="CI8" s="33">
        <v>1</v>
      </c>
      <c r="CJ8" s="33">
        <v>1</v>
      </c>
      <c r="CK8" s="33">
        <v>2</v>
      </c>
      <c r="CL8" s="33">
        <v>1</v>
      </c>
      <c r="CM8" s="33">
        <v>1</v>
      </c>
      <c r="CN8" s="33">
        <v>2</v>
      </c>
      <c r="CO8" s="33">
        <v>0</v>
      </c>
      <c r="CP8" s="33">
        <v>1</v>
      </c>
      <c r="CQ8" s="33">
        <v>2</v>
      </c>
    </row>
    <row r="9" spans="1:95">
      <c r="A9" s="28">
        <v>1</v>
      </c>
      <c r="B9" s="15">
        <v>1</v>
      </c>
      <c r="C9" s="15">
        <v>9</v>
      </c>
      <c r="D9" s="29">
        <v>40876</v>
      </c>
      <c r="E9" s="30">
        <v>1</v>
      </c>
      <c r="F9" s="15">
        <v>1989</v>
      </c>
      <c r="G9" s="31">
        <v>2</v>
      </c>
      <c r="H9" s="31">
        <v>1</v>
      </c>
      <c r="I9" s="31">
        <v>0</v>
      </c>
      <c r="J9" s="31">
        <v>1</v>
      </c>
      <c r="K9" s="31">
        <v>2</v>
      </c>
      <c r="L9" s="31">
        <v>1</v>
      </c>
      <c r="M9" s="32">
        <v>4</v>
      </c>
      <c r="N9" s="32">
        <v>0</v>
      </c>
      <c r="O9" s="15">
        <v>1</v>
      </c>
      <c r="P9" s="15">
        <v>0</v>
      </c>
      <c r="Q9" s="15">
        <v>6</v>
      </c>
      <c r="R9" s="15">
        <v>2</v>
      </c>
      <c r="S9" s="15">
        <v>0</v>
      </c>
      <c r="T9" s="15">
        <v>1</v>
      </c>
      <c r="U9" s="15">
        <v>1</v>
      </c>
      <c r="V9" s="15">
        <v>2</v>
      </c>
      <c r="W9" s="15">
        <v>1</v>
      </c>
      <c r="X9" s="15">
        <v>1</v>
      </c>
      <c r="Y9" s="15">
        <v>1</v>
      </c>
      <c r="Z9" s="15">
        <v>0</v>
      </c>
      <c r="AA9" s="15">
        <v>0</v>
      </c>
      <c r="AB9" s="32">
        <v>3</v>
      </c>
      <c r="AC9" s="32">
        <v>3</v>
      </c>
      <c r="AD9" s="32">
        <v>3</v>
      </c>
      <c r="AE9" s="32">
        <v>2</v>
      </c>
      <c r="AF9" s="32">
        <v>3</v>
      </c>
      <c r="AG9" s="32">
        <v>3</v>
      </c>
      <c r="AH9" s="32">
        <v>2</v>
      </c>
      <c r="AI9" s="32">
        <v>3</v>
      </c>
      <c r="AJ9" s="15"/>
      <c r="AK9" s="32">
        <f t="shared" si="9"/>
        <v>0</v>
      </c>
      <c r="AL9" s="32">
        <f t="shared" si="10"/>
        <v>2</v>
      </c>
      <c r="AM9" s="32">
        <f t="shared" si="11"/>
        <v>6</v>
      </c>
      <c r="AN9" s="32">
        <f t="shared" si="12"/>
        <v>0</v>
      </c>
      <c r="AO9" s="32">
        <v>0</v>
      </c>
      <c r="AP9" s="32">
        <v>0</v>
      </c>
      <c r="AQ9" s="32">
        <v>0</v>
      </c>
      <c r="AR9" s="32">
        <v>0</v>
      </c>
      <c r="AS9" s="32">
        <v>0</v>
      </c>
      <c r="AT9" s="32">
        <v>0</v>
      </c>
      <c r="AU9" s="32"/>
      <c r="AV9" s="32">
        <v>0</v>
      </c>
      <c r="AW9" s="32">
        <v>0</v>
      </c>
      <c r="AX9" s="32">
        <v>3</v>
      </c>
      <c r="AY9" s="32">
        <v>3</v>
      </c>
      <c r="AZ9" s="32">
        <v>3</v>
      </c>
      <c r="BA9" s="32">
        <v>2</v>
      </c>
      <c r="BB9" s="32">
        <v>3</v>
      </c>
      <c r="BC9" s="32">
        <v>3</v>
      </c>
      <c r="BD9" s="32">
        <v>2</v>
      </c>
      <c r="BE9" s="32">
        <v>3</v>
      </c>
      <c r="BF9" s="15"/>
      <c r="BG9" s="32">
        <f t="shared" si="13"/>
        <v>0</v>
      </c>
      <c r="BH9" s="32">
        <f t="shared" si="14"/>
        <v>2</v>
      </c>
      <c r="BI9" s="32">
        <f t="shared" si="15"/>
        <v>6</v>
      </c>
      <c r="BJ9" s="32">
        <f t="shared" si="16"/>
        <v>0</v>
      </c>
      <c r="BK9" s="32">
        <f t="shared" si="0"/>
        <v>1</v>
      </c>
      <c r="BL9" s="32">
        <f t="shared" si="1"/>
        <v>1</v>
      </c>
      <c r="BM9" s="32">
        <f t="shared" si="2"/>
        <v>1</v>
      </c>
      <c r="BN9" s="32">
        <f t="shared" si="3"/>
        <v>0</v>
      </c>
      <c r="BO9" s="32">
        <f t="shared" si="4"/>
        <v>1</v>
      </c>
      <c r="BP9" s="32">
        <f t="shared" si="5"/>
        <v>1</v>
      </c>
      <c r="BQ9" s="32">
        <f t="shared" si="6"/>
        <v>0</v>
      </c>
      <c r="BR9" s="32">
        <f t="shared" si="7"/>
        <v>1</v>
      </c>
      <c r="BS9" s="32">
        <f t="shared" si="8"/>
        <v>0</v>
      </c>
      <c r="BT9" s="15"/>
      <c r="BU9" s="15"/>
      <c r="BV9" s="15"/>
      <c r="BW9" s="15"/>
      <c r="BX9" s="15"/>
      <c r="BY9" s="15"/>
      <c r="BZ9" s="15"/>
      <c r="CA9" s="15"/>
      <c r="CB9" s="15"/>
      <c r="CC9" s="33">
        <v>2</v>
      </c>
      <c r="CD9" s="33">
        <v>2</v>
      </c>
      <c r="CE9" s="33">
        <v>2</v>
      </c>
      <c r="CF9" s="33">
        <v>2</v>
      </c>
      <c r="CG9" s="33">
        <v>2</v>
      </c>
      <c r="CH9" s="33">
        <v>2</v>
      </c>
      <c r="CI9" s="33">
        <v>1</v>
      </c>
      <c r="CJ9" s="33">
        <v>1</v>
      </c>
      <c r="CK9" s="33">
        <v>2</v>
      </c>
      <c r="CL9" s="33">
        <v>1</v>
      </c>
      <c r="CM9" s="33">
        <v>1</v>
      </c>
      <c r="CN9" s="33">
        <v>2</v>
      </c>
      <c r="CO9" s="33">
        <v>0</v>
      </c>
      <c r="CP9" s="33">
        <v>2</v>
      </c>
      <c r="CQ9" s="33">
        <v>2</v>
      </c>
    </row>
    <row r="10" spans="1:95">
      <c r="A10" s="28">
        <v>2</v>
      </c>
      <c r="B10" s="15">
        <v>1</v>
      </c>
      <c r="C10" s="15">
        <v>1</v>
      </c>
      <c r="D10" s="29">
        <v>40876</v>
      </c>
      <c r="E10" s="30">
        <v>1</v>
      </c>
      <c r="F10" s="15">
        <v>1989</v>
      </c>
      <c r="G10" s="31">
        <v>1</v>
      </c>
      <c r="H10" s="31">
        <v>1</v>
      </c>
      <c r="I10" s="31">
        <v>0</v>
      </c>
      <c r="J10" s="31">
        <v>1</v>
      </c>
      <c r="K10" s="31">
        <v>0</v>
      </c>
      <c r="L10" s="31">
        <v>2</v>
      </c>
      <c r="M10" s="31">
        <v>3</v>
      </c>
      <c r="N10" s="32">
        <v>2</v>
      </c>
      <c r="O10" s="15">
        <v>0</v>
      </c>
      <c r="P10" s="15">
        <v>1</v>
      </c>
      <c r="Q10" s="15">
        <v>8</v>
      </c>
      <c r="R10" s="15">
        <v>1</v>
      </c>
      <c r="S10" s="15">
        <v>0</v>
      </c>
      <c r="T10" s="15">
        <v>1</v>
      </c>
      <c r="U10" s="15">
        <v>1</v>
      </c>
      <c r="V10" s="15">
        <v>2</v>
      </c>
      <c r="W10" s="15">
        <v>1</v>
      </c>
      <c r="X10" s="15">
        <v>5</v>
      </c>
      <c r="Y10" s="15">
        <v>1</v>
      </c>
      <c r="Z10" s="15">
        <v>3</v>
      </c>
      <c r="AA10" s="15">
        <v>2</v>
      </c>
      <c r="AB10" s="15"/>
      <c r="AC10" s="32">
        <v>4</v>
      </c>
      <c r="AD10" s="32">
        <v>4</v>
      </c>
      <c r="AE10" s="32">
        <v>4</v>
      </c>
      <c r="AF10" s="32">
        <v>4</v>
      </c>
      <c r="AG10" s="32">
        <v>3</v>
      </c>
      <c r="AH10" s="32">
        <v>3</v>
      </c>
      <c r="AI10" s="15"/>
      <c r="AJ10" s="15"/>
      <c r="AK10" s="32">
        <f t="shared" si="9"/>
        <v>0</v>
      </c>
      <c r="AL10" s="32">
        <f t="shared" si="10"/>
        <v>0</v>
      </c>
      <c r="AM10" s="32">
        <f t="shared" si="11"/>
        <v>2</v>
      </c>
      <c r="AN10" s="32">
        <f t="shared" si="12"/>
        <v>4</v>
      </c>
      <c r="AO10" s="32">
        <v>0</v>
      </c>
      <c r="AP10" s="32"/>
      <c r="AQ10" s="32">
        <v>1</v>
      </c>
      <c r="AR10" s="32">
        <v>1</v>
      </c>
      <c r="AS10" s="32">
        <v>1</v>
      </c>
      <c r="AT10" s="32">
        <v>1</v>
      </c>
      <c r="AU10" s="32">
        <v>1</v>
      </c>
      <c r="AV10" s="32">
        <v>0</v>
      </c>
      <c r="AW10" s="32"/>
      <c r="AX10" s="15"/>
      <c r="AY10" s="32">
        <v>4</v>
      </c>
      <c r="AZ10" s="32">
        <v>4</v>
      </c>
      <c r="BA10" s="32">
        <v>4</v>
      </c>
      <c r="BB10" s="32">
        <v>3</v>
      </c>
      <c r="BC10" s="32">
        <v>3</v>
      </c>
      <c r="BD10" s="32">
        <v>3</v>
      </c>
      <c r="BE10" s="15"/>
      <c r="BF10" s="15"/>
      <c r="BG10" s="32">
        <f t="shared" si="13"/>
        <v>0</v>
      </c>
      <c r="BH10" s="32">
        <f t="shared" si="14"/>
        <v>0</v>
      </c>
      <c r="BI10" s="32">
        <f t="shared" si="15"/>
        <v>3</v>
      </c>
      <c r="BJ10" s="32">
        <f t="shared" si="16"/>
        <v>3</v>
      </c>
      <c r="BK10" s="32">
        <f t="shared" si="0"/>
        <v>0</v>
      </c>
      <c r="BL10" s="32">
        <f t="shared" si="1"/>
        <v>1</v>
      </c>
      <c r="BM10" s="32">
        <f t="shared" si="2"/>
        <v>1</v>
      </c>
      <c r="BN10" s="32">
        <f t="shared" si="3"/>
        <v>1</v>
      </c>
      <c r="BO10" s="32">
        <f t="shared" si="4"/>
        <v>1</v>
      </c>
      <c r="BP10" s="32">
        <f t="shared" si="5"/>
        <v>1</v>
      </c>
      <c r="BQ10" s="32">
        <f t="shared" si="6"/>
        <v>1</v>
      </c>
      <c r="BR10" s="32">
        <f t="shared" si="7"/>
        <v>0</v>
      </c>
      <c r="BS10" s="32">
        <f t="shared" si="8"/>
        <v>0</v>
      </c>
      <c r="BT10" s="15"/>
      <c r="BU10" s="15">
        <f>SUM(Raw!AR10:AR16)</f>
        <v>2</v>
      </c>
      <c r="BV10" s="15">
        <f>SUM(Raw!AS10:AS16)</f>
        <v>5</v>
      </c>
      <c r="BW10" s="15">
        <f>SUM(Raw!AT10:AT16)</f>
        <v>5</v>
      </c>
      <c r="BX10" s="15">
        <f>SUM(Raw!AU10:AU16)</f>
        <v>3</v>
      </c>
      <c r="BY10" s="15">
        <f>SUM(Raw!AV10:AV16)</f>
        <v>2</v>
      </c>
      <c r="BZ10" s="15">
        <f>SUM(Raw!AW10:AW16)</f>
        <v>2</v>
      </c>
      <c r="CA10" s="15"/>
      <c r="CB10" s="15"/>
      <c r="CC10" s="33">
        <v>1</v>
      </c>
      <c r="CD10" s="33">
        <v>2</v>
      </c>
      <c r="CE10" s="33">
        <v>1</v>
      </c>
      <c r="CF10" s="33">
        <v>2</v>
      </c>
      <c r="CG10" s="33">
        <v>1</v>
      </c>
      <c r="CH10" s="33">
        <v>2</v>
      </c>
      <c r="CI10" s="33">
        <v>1</v>
      </c>
      <c r="CJ10" s="33">
        <v>1</v>
      </c>
      <c r="CK10" s="33">
        <v>2</v>
      </c>
      <c r="CL10" s="33">
        <v>0</v>
      </c>
      <c r="CM10" s="33">
        <v>1</v>
      </c>
      <c r="CN10" s="33">
        <v>2</v>
      </c>
      <c r="CO10" s="33">
        <v>0</v>
      </c>
      <c r="CP10" s="33">
        <v>1</v>
      </c>
      <c r="CQ10" s="33">
        <v>2</v>
      </c>
    </row>
    <row r="11" spans="1:95">
      <c r="A11" s="28">
        <v>2</v>
      </c>
      <c r="B11" s="15">
        <v>1</v>
      </c>
      <c r="C11" s="15">
        <v>3</v>
      </c>
      <c r="D11" s="29">
        <v>40876</v>
      </c>
      <c r="E11" s="30">
        <v>1</v>
      </c>
      <c r="F11" s="15">
        <v>1982</v>
      </c>
      <c r="G11" s="31">
        <v>5</v>
      </c>
      <c r="H11" s="31">
        <v>1</v>
      </c>
      <c r="I11" s="31">
        <v>1</v>
      </c>
      <c r="J11" s="31">
        <v>2</v>
      </c>
      <c r="K11" s="31">
        <v>2</v>
      </c>
      <c r="L11" s="31">
        <v>2</v>
      </c>
      <c r="M11" s="31">
        <v>0</v>
      </c>
      <c r="N11" s="32">
        <v>2</v>
      </c>
      <c r="O11" s="15">
        <v>1</v>
      </c>
      <c r="P11" s="15">
        <v>0</v>
      </c>
      <c r="Q11" s="15">
        <v>4</v>
      </c>
      <c r="R11" s="15">
        <v>0</v>
      </c>
      <c r="S11" s="15">
        <v>0</v>
      </c>
      <c r="T11" s="15">
        <v>1</v>
      </c>
      <c r="U11" s="15">
        <v>1</v>
      </c>
      <c r="V11" s="15">
        <v>1</v>
      </c>
      <c r="W11" s="15">
        <v>1</v>
      </c>
      <c r="X11" s="15">
        <v>4</v>
      </c>
      <c r="Y11" s="15">
        <v>3</v>
      </c>
      <c r="Z11" s="15">
        <v>4</v>
      </c>
      <c r="AA11" s="15">
        <v>2</v>
      </c>
      <c r="AB11" s="32">
        <v>4</v>
      </c>
      <c r="AC11" s="32">
        <v>4</v>
      </c>
      <c r="AD11" s="15"/>
      <c r="AE11" s="32">
        <v>4</v>
      </c>
      <c r="AF11" s="32">
        <v>4</v>
      </c>
      <c r="AG11" s="32">
        <v>4</v>
      </c>
      <c r="AH11" s="32">
        <v>4</v>
      </c>
      <c r="AI11" s="15"/>
      <c r="AJ11" s="15"/>
      <c r="AK11" s="32">
        <f t="shared" si="9"/>
        <v>0</v>
      </c>
      <c r="AL11" s="32">
        <f t="shared" si="10"/>
        <v>0</v>
      </c>
      <c r="AM11" s="32">
        <f t="shared" si="11"/>
        <v>0</v>
      </c>
      <c r="AN11" s="32">
        <f t="shared" si="12"/>
        <v>6</v>
      </c>
      <c r="AO11" s="32">
        <v>1</v>
      </c>
      <c r="AP11" s="32"/>
      <c r="AQ11" s="32">
        <v>0</v>
      </c>
      <c r="AR11" s="32">
        <v>1</v>
      </c>
      <c r="AS11" s="32">
        <v>1</v>
      </c>
      <c r="AT11" s="32">
        <v>1</v>
      </c>
      <c r="AU11" s="32">
        <v>1</v>
      </c>
      <c r="AV11" s="32">
        <v>0</v>
      </c>
      <c r="AW11" s="32"/>
      <c r="AX11" s="32">
        <v>4</v>
      </c>
      <c r="AY11" s="32">
        <v>4</v>
      </c>
      <c r="AZ11" s="15"/>
      <c r="BA11" s="32">
        <v>4</v>
      </c>
      <c r="BB11" s="32">
        <v>4</v>
      </c>
      <c r="BC11" s="32">
        <v>4</v>
      </c>
      <c r="BD11" s="32">
        <v>4</v>
      </c>
      <c r="BE11" s="15"/>
      <c r="BF11" s="15"/>
      <c r="BG11" s="32">
        <f t="shared" si="13"/>
        <v>0</v>
      </c>
      <c r="BH11" s="32">
        <f t="shared" si="14"/>
        <v>0</v>
      </c>
      <c r="BI11" s="32">
        <f t="shared" si="15"/>
        <v>0</v>
      </c>
      <c r="BJ11" s="32">
        <f t="shared" si="16"/>
        <v>6</v>
      </c>
      <c r="BK11" s="32">
        <f t="shared" si="0"/>
        <v>1</v>
      </c>
      <c r="BL11" s="32">
        <f t="shared" si="1"/>
        <v>1</v>
      </c>
      <c r="BM11" s="32">
        <f t="shared" si="2"/>
        <v>0</v>
      </c>
      <c r="BN11" s="32">
        <f t="shared" si="3"/>
        <v>1</v>
      </c>
      <c r="BO11" s="32">
        <f t="shared" si="4"/>
        <v>1</v>
      </c>
      <c r="BP11" s="32">
        <f t="shared" si="5"/>
        <v>1</v>
      </c>
      <c r="BQ11" s="32">
        <f t="shared" si="6"/>
        <v>1</v>
      </c>
      <c r="BR11" s="32">
        <f t="shared" si="7"/>
        <v>0</v>
      </c>
      <c r="BS11" s="32">
        <f t="shared" si="8"/>
        <v>0</v>
      </c>
      <c r="BT11" s="15">
        <f>SUM(Raw!AS10:AS16)</f>
        <v>5</v>
      </c>
      <c r="BU11" s="15">
        <f>SUM(Raw!AZ10:AZ16)</f>
        <v>5</v>
      </c>
      <c r="BV11" s="15"/>
      <c r="BW11" s="15">
        <f>SUM(Raw!BG10:BG16)</f>
        <v>5</v>
      </c>
      <c r="BX11" s="15">
        <f>SUM(Raw!BH10:BH16)</f>
        <v>3</v>
      </c>
      <c r="BY11" s="15">
        <f>SUM(Raw!BI10:BI16)</f>
        <v>3</v>
      </c>
      <c r="BZ11" s="15">
        <f>SUM(Raw!BJ10:BJ16)</f>
        <v>4</v>
      </c>
      <c r="CA11" s="15"/>
      <c r="CB11" s="15"/>
      <c r="CC11" s="33">
        <v>2</v>
      </c>
      <c r="CD11" s="33">
        <v>2</v>
      </c>
      <c r="CE11" s="33">
        <v>2</v>
      </c>
      <c r="CF11" s="33">
        <v>2</v>
      </c>
      <c r="CG11" s="33">
        <v>2</v>
      </c>
      <c r="CH11" s="33">
        <v>2</v>
      </c>
      <c r="CI11" s="33">
        <v>0</v>
      </c>
      <c r="CJ11" s="33">
        <v>2</v>
      </c>
      <c r="CK11" s="33">
        <v>2</v>
      </c>
      <c r="CL11" s="33">
        <v>0</v>
      </c>
      <c r="CM11" s="33">
        <v>2</v>
      </c>
      <c r="CN11" s="33">
        <v>2</v>
      </c>
      <c r="CO11" s="33">
        <v>0</v>
      </c>
      <c r="CP11" s="33">
        <v>2</v>
      </c>
      <c r="CQ11" s="33">
        <v>2</v>
      </c>
    </row>
    <row r="12" spans="1:95">
      <c r="A12" s="28">
        <v>2</v>
      </c>
      <c r="B12" s="15">
        <v>1</v>
      </c>
      <c r="C12" s="15">
        <v>4</v>
      </c>
      <c r="D12" s="29">
        <v>40876</v>
      </c>
      <c r="E12" s="30">
        <v>1</v>
      </c>
      <c r="F12" s="15">
        <v>1985</v>
      </c>
      <c r="G12" s="31">
        <v>4</v>
      </c>
      <c r="H12" s="31">
        <v>1</v>
      </c>
      <c r="I12" s="31">
        <v>0</v>
      </c>
      <c r="J12" s="31">
        <v>0</v>
      </c>
      <c r="K12" s="31">
        <v>2</v>
      </c>
      <c r="L12" s="31">
        <v>0</v>
      </c>
      <c r="M12" s="31">
        <v>2</v>
      </c>
      <c r="N12" s="15">
        <v>5</v>
      </c>
      <c r="O12" s="15">
        <v>1</v>
      </c>
      <c r="P12" s="15">
        <v>0</v>
      </c>
      <c r="Q12" s="15">
        <v>5</v>
      </c>
      <c r="R12" s="15">
        <v>2</v>
      </c>
      <c r="S12" s="15">
        <v>2</v>
      </c>
      <c r="T12" s="15">
        <v>2</v>
      </c>
      <c r="U12" s="15">
        <v>2</v>
      </c>
      <c r="V12" s="15">
        <v>2</v>
      </c>
      <c r="W12" s="15">
        <v>1</v>
      </c>
      <c r="X12" s="15">
        <v>5</v>
      </c>
      <c r="Y12" s="15">
        <v>1</v>
      </c>
      <c r="Z12" s="15">
        <v>7</v>
      </c>
      <c r="AA12" s="15">
        <v>2</v>
      </c>
      <c r="AB12" s="32">
        <v>4</v>
      </c>
      <c r="AC12" s="32">
        <v>4</v>
      </c>
      <c r="AD12" s="32">
        <v>4</v>
      </c>
      <c r="AE12" s="15"/>
      <c r="AF12" s="32">
        <v>3</v>
      </c>
      <c r="AG12" s="32">
        <v>3</v>
      </c>
      <c r="AH12" s="32">
        <v>4</v>
      </c>
      <c r="AI12" s="15"/>
      <c r="AJ12" s="15"/>
      <c r="AK12" s="32">
        <f t="shared" si="9"/>
        <v>0</v>
      </c>
      <c r="AL12" s="32">
        <f t="shared" si="10"/>
        <v>0</v>
      </c>
      <c r="AM12" s="32">
        <f t="shared" si="11"/>
        <v>2</v>
      </c>
      <c r="AN12" s="32">
        <f t="shared" si="12"/>
        <v>4</v>
      </c>
      <c r="AO12" s="32">
        <v>1</v>
      </c>
      <c r="AP12" s="32"/>
      <c r="AQ12" s="32">
        <v>1</v>
      </c>
      <c r="AR12" s="32">
        <v>0</v>
      </c>
      <c r="AS12" s="32">
        <v>1</v>
      </c>
      <c r="AT12" s="32">
        <v>1</v>
      </c>
      <c r="AU12" s="32">
        <v>1</v>
      </c>
      <c r="AV12" s="32">
        <v>0</v>
      </c>
      <c r="AW12" s="32"/>
      <c r="AX12" s="32">
        <v>4</v>
      </c>
      <c r="AY12" s="32">
        <v>4</v>
      </c>
      <c r="AZ12" s="32">
        <v>4</v>
      </c>
      <c r="BA12" s="15"/>
      <c r="BB12" s="32">
        <v>3</v>
      </c>
      <c r="BC12" s="32">
        <v>3</v>
      </c>
      <c r="BD12" s="32">
        <v>4</v>
      </c>
      <c r="BE12" s="15"/>
      <c r="BF12" s="15"/>
      <c r="BG12" s="32">
        <f t="shared" si="13"/>
        <v>0</v>
      </c>
      <c r="BH12" s="32">
        <f t="shared" si="14"/>
        <v>0</v>
      </c>
      <c r="BI12" s="32">
        <f t="shared" si="15"/>
        <v>2</v>
      </c>
      <c r="BJ12" s="32">
        <f t="shared" si="16"/>
        <v>4</v>
      </c>
      <c r="BK12" s="32">
        <f t="shared" si="0"/>
        <v>1</v>
      </c>
      <c r="BL12" s="32">
        <f t="shared" si="1"/>
        <v>1</v>
      </c>
      <c r="BM12" s="32">
        <f t="shared" si="2"/>
        <v>1</v>
      </c>
      <c r="BN12" s="32">
        <f t="shared" si="3"/>
        <v>0</v>
      </c>
      <c r="BO12" s="32">
        <f t="shared" si="4"/>
        <v>1</v>
      </c>
      <c r="BP12" s="32">
        <f t="shared" si="5"/>
        <v>1</v>
      </c>
      <c r="BQ12" s="32">
        <f t="shared" si="6"/>
        <v>1</v>
      </c>
      <c r="BR12" s="32">
        <f t="shared" si="7"/>
        <v>0</v>
      </c>
      <c r="BS12" s="32">
        <f t="shared" si="8"/>
        <v>0</v>
      </c>
      <c r="BT12" s="15">
        <f>SUM(Raw!AT10:AT16)</f>
        <v>5</v>
      </c>
      <c r="BU12" s="15">
        <f>SUM(Raw!BA10:BA16)</f>
        <v>5</v>
      </c>
      <c r="BV12" s="15">
        <f>SUM(Raw!BG10:BG16)</f>
        <v>5</v>
      </c>
      <c r="BW12" s="15"/>
      <c r="BX12" s="15">
        <f>SUM(Raw!BM10:BM16)</f>
        <v>3</v>
      </c>
      <c r="BY12" s="15">
        <f>SUM(Raw!BN10:BN16)</f>
        <v>4</v>
      </c>
      <c r="BZ12" s="15">
        <f>SUM(Raw!BO10:BO16)</f>
        <v>4</v>
      </c>
      <c r="CA12" s="15"/>
      <c r="CB12" s="15"/>
      <c r="CC12" s="33">
        <v>2</v>
      </c>
      <c r="CD12" s="33">
        <v>2</v>
      </c>
      <c r="CE12" s="33">
        <v>2</v>
      </c>
      <c r="CF12" s="33">
        <v>1</v>
      </c>
      <c r="CG12" s="33">
        <v>1</v>
      </c>
      <c r="CH12" s="33">
        <v>2</v>
      </c>
      <c r="CI12" s="33">
        <v>1</v>
      </c>
      <c r="CJ12" s="33">
        <v>2</v>
      </c>
      <c r="CK12" s="33">
        <v>2</v>
      </c>
      <c r="CL12" s="33">
        <v>1</v>
      </c>
      <c r="CM12" s="33">
        <v>2</v>
      </c>
      <c r="CN12" s="33">
        <v>2</v>
      </c>
      <c r="CO12" s="33">
        <v>1</v>
      </c>
      <c r="CP12" s="33">
        <v>1</v>
      </c>
      <c r="CQ12" s="33">
        <v>2</v>
      </c>
    </row>
    <row r="13" spans="1:95">
      <c r="A13" s="28">
        <v>2</v>
      </c>
      <c r="B13" s="15">
        <v>1</v>
      </c>
      <c r="C13" s="15">
        <v>5</v>
      </c>
      <c r="D13" s="29">
        <v>40876</v>
      </c>
      <c r="E13" s="30">
        <v>1</v>
      </c>
      <c r="F13" s="15">
        <v>1989</v>
      </c>
      <c r="G13" s="31">
        <v>4</v>
      </c>
      <c r="H13" s="15">
        <v>2</v>
      </c>
      <c r="I13" s="31">
        <v>0</v>
      </c>
      <c r="J13" s="31">
        <v>0</v>
      </c>
      <c r="K13" s="31">
        <v>1</v>
      </c>
      <c r="L13" s="31">
        <v>2</v>
      </c>
      <c r="M13" s="32">
        <v>5</v>
      </c>
      <c r="N13" s="32">
        <v>2</v>
      </c>
      <c r="O13" s="15">
        <v>5</v>
      </c>
      <c r="P13" s="15">
        <v>1</v>
      </c>
      <c r="Q13" s="15">
        <v>6</v>
      </c>
      <c r="R13" s="15">
        <v>2</v>
      </c>
      <c r="S13" s="15">
        <v>0</v>
      </c>
      <c r="T13" s="15">
        <v>2</v>
      </c>
      <c r="U13" s="15">
        <v>2</v>
      </c>
      <c r="V13" s="15">
        <v>2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32">
        <v>3</v>
      </c>
      <c r="AC13" s="32">
        <v>3</v>
      </c>
      <c r="AD13" s="32">
        <v>3</v>
      </c>
      <c r="AE13" s="32">
        <v>3</v>
      </c>
      <c r="AF13" s="15"/>
      <c r="AG13" s="32">
        <v>3</v>
      </c>
      <c r="AH13" s="32">
        <v>3</v>
      </c>
      <c r="AI13" s="15"/>
      <c r="AJ13" s="15"/>
      <c r="AK13" s="32">
        <f t="shared" si="9"/>
        <v>0</v>
      </c>
      <c r="AL13" s="32">
        <f t="shared" si="10"/>
        <v>0</v>
      </c>
      <c r="AM13" s="32">
        <f t="shared" si="11"/>
        <v>6</v>
      </c>
      <c r="AN13" s="32">
        <f t="shared" si="12"/>
        <v>0</v>
      </c>
      <c r="AO13" s="32">
        <v>1</v>
      </c>
      <c r="AP13" s="32"/>
      <c r="AQ13" s="32">
        <v>1</v>
      </c>
      <c r="AR13" s="32">
        <v>1</v>
      </c>
      <c r="AS13" s="32">
        <v>0</v>
      </c>
      <c r="AT13" s="32">
        <v>1</v>
      </c>
      <c r="AU13" s="32">
        <v>1</v>
      </c>
      <c r="AV13" s="32">
        <v>0</v>
      </c>
      <c r="AW13" s="32"/>
      <c r="AX13" s="32">
        <v>3</v>
      </c>
      <c r="AY13" s="32">
        <v>3</v>
      </c>
      <c r="AZ13" s="32">
        <v>3</v>
      </c>
      <c r="BA13" s="32">
        <v>3</v>
      </c>
      <c r="BB13" s="15"/>
      <c r="BC13" s="32">
        <v>3</v>
      </c>
      <c r="BD13" s="32">
        <v>3</v>
      </c>
      <c r="BE13" s="15"/>
      <c r="BF13" s="15"/>
      <c r="BG13" s="32">
        <f t="shared" si="13"/>
        <v>0</v>
      </c>
      <c r="BH13" s="32">
        <f t="shared" si="14"/>
        <v>0</v>
      </c>
      <c r="BI13" s="32">
        <f t="shared" si="15"/>
        <v>6</v>
      </c>
      <c r="BJ13" s="32">
        <f t="shared" si="16"/>
        <v>0</v>
      </c>
      <c r="BK13" s="32">
        <f t="shared" si="0"/>
        <v>1</v>
      </c>
      <c r="BL13" s="32">
        <f t="shared" si="1"/>
        <v>1</v>
      </c>
      <c r="BM13" s="32">
        <f t="shared" si="2"/>
        <v>1</v>
      </c>
      <c r="BN13" s="32">
        <f t="shared" si="3"/>
        <v>1</v>
      </c>
      <c r="BO13" s="32">
        <f t="shared" si="4"/>
        <v>0</v>
      </c>
      <c r="BP13" s="32">
        <f t="shared" si="5"/>
        <v>1</v>
      </c>
      <c r="BQ13" s="32">
        <f t="shared" si="6"/>
        <v>1</v>
      </c>
      <c r="BR13" s="32">
        <f t="shared" si="7"/>
        <v>0</v>
      </c>
      <c r="BS13" s="32">
        <f t="shared" si="8"/>
        <v>0</v>
      </c>
      <c r="BT13" s="15">
        <f>SUM(Raw!AU10:AU16)</f>
        <v>3</v>
      </c>
      <c r="BU13" s="15">
        <f>SUM(Raw!BB10:BB16)</f>
        <v>2</v>
      </c>
      <c r="BV13" s="15">
        <f>SUM(Raw!BH10:BH16)</f>
        <v>3</v>
      </c>
      <c r="BW13" s="15">
        <f>SUM(Raw!BM10:BM16)</f>
        <v>3</v>
      </c>
      <c r="BX13" s="15"/>
      <c r="BY13" s="15">
        <f>SUM(Raw!BR10:BR16)</f>
        <v>4</v>
      </c>
      <c r="BZ13" s="15">
        <f>SUM(Raw!BS10:BS16)</f>
        <v>2</v>
      </c>
      <c r="CA13" s="15"/>
      <c r="CB13" s="15"/>
      <c r="CC13" s="33">
        <v>1</v>
      </c>
      <c r="CD13" s="33">
        <v>1</v>
      </c>
      <c r="CE13" s="33">
        <v>1</v>
      </c>
      <c r="CF13" s="33">
        <v>1</v>
      </c>
      <c r="CG13" s="33">
        <v>1</v>
      </c>
      <c r="CH13" s="33">
        <v>1</v>
      </c>
      <c r="CI13" s="33"/>
      <c r="CJ13" s="33"/>
      <c r="CK13" s="33"/>
      <c r="CL13" s="33"/>
      <c r="CM13" s="33"/>
      <c r="CN13" s="33"/>
      <c r="CO13" s="33"/>
      <c r="CP13" s="33"/>
      <c r="CQ13" s="33"/>
    </row>
    <row r="14" spans="1:95">
      <c r="A14" s="28">
        <v>2</v>
      </c>
      <c r="B14" s="15">
        <v>1</v>
      </c>
      <c r="C14" s="15">
        <v>6</v>
      </c>
      <c r="D14" s="29">
        <v>40883</v>
      </c>
      <c r="E14" s="30">
        <v>1</v>
      </c>
      <c r="F14" s="15">
        <v>1987</v>
      </c>
      <c r="G14" s="31">
        <v>4</v>
      </c>
      <c r="H14" s="15">
        <v>2</v>
      </c>
      <c r="I14" s="31">
        <v>0</v>
      </c>
      <c r="J14" s="31">
        <v>0</v>
      </c>
      <c r="K14" s="31">
        <v>2</v>
      </c>
      <c r="L14" s="31">
        <v>1</v>
      </c>
      <c r="M14" s="31">
        <v>0</v>
      </c>
      <c r="N14" s="32">
        <v>0</v>
      </c>
      <c r="O14" s="15">
        <v>5</v>
      </c>
      <c r="P14" s="15">
        <v>1</v>
      </c>
      <c r="Q14" s="15">
        <v>10</v>
      </c>
      <c r="R14" s="15">
        <v>5</v>
      </c>
      <c r="S14" s="15">
        <v>0</v>
      </c>
      <c r="T14" s="15">
        <v>1</v>
      </c>
      <c r="U14" s="15">
        <v>2</v>
      </c>
      <c r="V14" s="15">
        <v>2</v>
      </c>
      <c r="W14" s="15">
        <v>2</v>
      </c>
      <c r="X14" s="15">
        <v>1</v>
      </c>
      <c r="Y14" s="15">
        <v>1</v>
      </c>
      <c r="Z14" s="15">
        <v>3</v>
      </c>
      <c r="AA14" s="15">
        <v>1</v>
      </c>
      <c r="AB14" s="32">
        <v>3</v>
      </c>
      <c r="AC14" s="32">
        <v>3</v>
      </c>
      <c r="AD14" s="32">
        <v>3</v>
      </c>
      <c r="AE14" s="32">
        <v>3</v>
      </c>
      <c r="AF14" s="32">
        <v>3</v>
      </c>
      <c r="AG14" s="15"/>
      <c r="AH14" s="32">
        <v>3</v>
      </c>
      <c r="AI14" s="15"/>
      <c r="AJ14" s="15"/>
      <c r="AK14" s="32">
        <f t="shared" si="9"/>
        <v>0</v>
      </c>
      <c r="AL14" s="32">
        <f t="shared" si="10"/>
        <v>0</v>
      </c>
      <c r="AM14" s="32">
        <f t="shared" si="11"/>
        <v>6</v>
      </c>
      <c r="AN14" s="32">
        <f t="shared" si="12"/>
        <v>0</v>
      </c>
      <c r="AO14" s="32">
        <v>1</v>
      </c>
      <c r="AP14" s="32"/>
      <c r="AQ14" s="32">
        <v>1</v>
      </c>
      <c r="AR14" s="32">
        <v>1</v>
      </c>
      <c r="AS14" s="32">
        <v>1</v>
      </c>
      <c r="AT14" s="32">
        <v>0</v>
      </c>
      <c r="AU14" s="32">
        <v>1</v>
      </c>
      <c r="AV14" s="32">
        <v>0</v>
      </c>
      <c r="AW14" s="32"/>
      <c r="AX14" s="32">
        <v>3</v>
      </c>
      <c r="AY14" s="32">
        <v>3</v>
      </c>
      <c r="AZ14" s="32">
        <v>3</v>
      </c>
      <c r="BA14" s="32">
        <v>3</v>
      </c>
      <c r="BB14" s="32">
        <v>3</v>
      </c>
      <c r="BC14" s="15"/>
      <c r="BD14" s="32">
        <v>3</v>
      </c>
      <c r="BE14" s="15"/>
      <c r="BF14" s="15"/>
      <c r="BG14" s="32">
        <f t="shared" si="13"/>
        <v>0</v>
      </c>
      <c r="BH14" s="32">
        <f t="shared" si="14"/>
        <v>0</v>
      </c>
      <c r="BI14" s="32">
        <f t="shared" si="15"/>
        <v>6</v>
      </c>
      <c r="BJ14" s="32">
        <f t="shared" si="16"/>
        <v>0</v>
      </c>
      <c r="BK14" s="32">
        <f t="shared" si="0"/>
        <v>1</v>
      </c>
      <c r="BL14" s="32">
        <f t="shared" si="1"/>
        <v>1</v>
      </c>
      <c r="BM14" s="32">
        <f t="shared" si="2"/>
        <v>1</v>
      </c>
      <c r="BN14" s="32">
        <f t="shared" si="3"/>
        <v>1</v>
      </c>
      <c r="BO14" s="32">
        <f t="shared" si="4"/>
        <v>1</v>
      </c>
      <c r="BP14" s="32">
        <f t="shared" si="5"/>
        <v>0</v>
      </c>
      <c r="BQ14" s="32">
        <f t="shared" si="6"/>
        <v>1</v>
      </c>
      <c r="BR14" s="32">
        <f t="shared" si="7"/>
        <v>0</v>
      </c>
      <c r="BS14" s="32">
        <f t="shared" si="8"/>
        <v>0</v>
      </c>
      <c r="BT14" s="15">
        <f>SUM(Raw!AV10:AV16)</f>
        <v>2</v>
      </c>
      <c r="BU14" s="15">
        <f>SUM(Raw!BC10:BC16)</f>
        <v>4</v>
      </c>
      <c r="BV14" s="15">
        <f>SUM(Raw!BI10:BI16)</f>
        <v>3</v>
      </c>
      <c r="BW14" s="15">
        <f>SUM(Raw!BN10:BN16)</f>
        <v>4</v>
      </c>
      <c r="BX14" s="15">
        <f>SUM(Raw!BR10:BR16)</f>
        <v>4</v>
      </c>
      <c r="BY14" s="15"/>
      <c r="BZ14" s="15">
        <f>SUM(Raw!BV10:BV16)</f>
        <v>1</v>
      </c>
      <c r="CA14" s="15"/>
      <c r="CB14" s="15"/>
      <c r="CC14" s="33">
        <v>1</v>
      </c>
      <c r="CD14" s="33">
        <v>1</v>
      </c>
      <c r="CE14" s="33">
        <v>1</v>
      </c>
      <c r="CF14" s="33">
        <v>1</v>
      </c>
      <c r="CG14" s="33">
        <v>1</v>
      </c>
      <c r="CH14" s="33">
        <v>1</v>
      </c>
      <c r="CI14" s="33">
        <v>1</v>
      </c>
      <c r="CJ14" s="33">
        <v>1</v>
      </c>
      <c r="CK14" s="33">
        <v>1</v>
      </c>
      <c r="CL14" s="33">
        <v>1</v>
      </c>
      <c r="CM14" s="33">
        <v>1</v>
      </c>
      <c r="CN14" s="33">
        <v>1</v>
      </c>
      <c r="CO14" s="33">
        <v>1</v>
      </c>
      <c r="CP14" s="33">
        <v>1</v>
      </c>
      <c r="CQ14" s="33">
        <v>1</v>
      </c>
    </row>
    <row r="15" spans="1:95">
      <c r="A15" s="28">
        <v>2</v>
      </c>
      <c r="B15" s="15">
        <v>1</v>
      </c>
      <c r="C15" s="15">
        <v>7</v>
      </c>
      <c r="D15" s="29">
        <v>40876</v>
      </c>
      <c r="E15" s="30">
        <v>1</v>
      </c>
      <c r="F15" s="15">
        <v>1986</v>
      </c>
      <c r="G15" s="31">
        <v>4</v>
      </c>
      <c r="H15" s="31">
        <v>1</v>
      </c>
      <c r="I15" s="31">
        <v>1</v>
      </c>
      <c r="J15" s="31">
        <v>0</v>
      </c>
      <c r="K15" s="31">
        <v>2</v>
      </c>
      <c r="L15" s="31">
        <v>2</v>
      </c>
      <c r="M15" s="31">
        <v>3</v>
      </c>
      <c r="N15" s="32">
        <v>3</v>
      </c>
      <c r="O15" s="15">
        <v>6</v>
      </c>
      <c r="P15" s="15">
        <v>1</v>
      </c>
      <c r="Q15" s="15">
        <v>7</v>
      </c>
      <c r="R15" s="15">
        <v>3</v>
      </c>
      <c r="S15" s="15">
        <v>0</v>
      </c>
      <c r="T15" s="15">
        <v>2</v>
      </c>
      <c r="U15" s="15">
        <v>1</v>
      </c>
      <c r="V15" s="15">
        <v>2</v>
      </c>
      <c r="W15" s="15">
        <v>0</v>
      </c>
      <c r="X15" s="15">
        <v>4</v>
      </c>
      <c r="Y15" s="15">
        <v>3</v>
      </c>
      <c r="Z15" s="15">
        <v>1</v>
      </c>
      <c r="AA15" s="15">
        <v>1</v>
      </c>
      <c r="AB15" s="32">
        <v>3</v>
      </c>
      <c r="AC15" s="32">
        <v>3</v>
      </c>
      <c r="AD15" s="32">
        <v>3</v>
      </c>
      <c r="AE15" s="32">
        <v>3</v>
      </c>
      <c r="AF15" s="32">
        <v>3</v>
      </c>
      <c r="AG15" s="32">
        <v>3</v>
      </c>
      <c r="AH15" s="15"/>
      <c r="AI15" s="15"/>
      <c r="AJ15" s="15"/>
      <c r="AK15" s="32">
        <f t="shared" si="9"/>
        <v>0</v>
      </c>
      <c r="AL15" s="32">
        <f t="shared" si="10"/>
        <v>0</v>
      </c>
      <c r="AM15" s="32">
        <f t="shared" si="11"/>
        <v>6</v>
      </c>
      <c r="AN15" s="32">
        <f t="shared" si="12"/>
        <v>0</v>
      </c>
      <c r="AO15" s="32">
        <v>1</v>
      </c>
      <c r="AP15" s="32"/>
      <c r="AQ15" s="32">
        <v>1</v>
      </c>
      <c r="AR15" s="32">
        <v>1</v>
      </c>
      <c r="AS15" s="32">
        <v>1</v>
      </c>
      <c r="AT15" s="32">
        <v>1</v>
      </c>
      <c r="AU15" s="32">
        <v>0</v>
      </c>
      <c r="AV15" s="32">
        <v>0</v>
      </c>
      <c r="AW15" s="32"/>
      <c r="AX15" s="32">
        <v>3</v>
      </c>
      <c r="AY15" s="32">
        <v>3</v>
      </c>
      <c r="AZ15" s="32">
        <v>3</v>
      </c>
      <c r="BA15" s="32">
        <v>3</v>
      </c>
      <c r="BB15" s="32">
        <v>2</v>
      </c>
      <c r="BC15" s="32">
        <v>3</v>
      </c>
      <c r="BD15" s="15"/>
      <c r="BE15" s="15"/>
      <c r="BF15" s="15"/>
      <c r="BG15" s="32">
        <f t="shared" si="13"/>
        <v>0</v>
      </c>
      <c r="BH15" s="32">
        <f t="shared" si="14"/>
        <v>1</v>
      </c>
      <c r="BI15" s="32">
        <f t="shared" si="15"/>
        <v>5</v>
      </c>
      <c r="BJ15" s="32">
        <f t="shared" si="16"/>
        <v>0</v>
      </c>
      <c r="BK15" s="32">
        <f t="shared" si="0"/>
        <v>1</v>
      </c>
      <c r="BL15" s="32">
        <f t="shared" si="1"/>
        <v>1</v>
      </c>
      <c r="BM15" s="32">
        <f t="shared" si="2"/>
        <v>1</v>
      </c>
      <c r="BN15" s="32">
        <f t="shared" si="3"/>
        <v>1</v>
      </c>
      <c r="BO15" s="32">
        <f t="shared" si="4"/>
        <v>0</v>
      </c>
      <c r="BP15" s="32">
        <f t="shared" si="5"/>
        <v>1</v>
      </c>
      <c r="BQ15" s="32">
        <f t="shared" si="6"/>
        <v>0</v>
      </c>
      <c r="BR15" s="32">
        <f t="shared" si="7"/>
        <v>0</v>
      </c>
      <c r="BS15" s="32">
        <f t="shared" si="8"/>
        <v>0</v>
      </c>
      <c r="BT15" s="15">
        <f>SUM(Raw!AW10:AW16)</f>
        <v>2</v>
      </c>
      <c r="BU15" s="15">
        <f>SUM(Raw!BD10:BD16)</f>
        <v>3</v>
      </c>
      <c r="BV15" s="15">
        <f>SUM(Raw!BJ10:BJ16)</f>
        <v>4</v>
      </c>
      <c r="BW15" s="15">
        <f>SUM(Raw!BO10:BO16)</f>
        <v>4</v>
      </c>
      <c r="BX15" s="15">
        <f>SUM(Raw!BS10:BS16)</f>
        <v>2</v>
      </c>
      <c r="BY15" s="15">
        <f>SUM(Raw!BV10:BV16)</f>
        <v>1</v>
      </c>
      <c r="BZ15" s="15"/>
      <c r="CA15" s="15"/>
      <c r="CB15" s="15"/>
      <c r="CC15" s="33">
        <v>2</v>
      </c>
      <c r="CD15" s="33">
        <v>2</v>
      </c>
      <c r="CE15" s="33">
        <v>1</v>
      </c>
      <c r="CF15" s="33">
        <v>2</v>
      </c>
      <c r="CG15" s="33">
        <v>1</v>
      </c>
      <c r="CH15" s="33">
        <v>2</v>
      </c>
      <c r="CI15" s="33">
        <v>0</v>
      </c>
      <c r="CJ15" s="33">
        <v>2</v>
      </c>
      <c r="CK15" s="33">
        <v>2</v>
      </c>
      <c r="CL15" s="33">
        <v>0</v>
      </c>
      <c r="CM15" s="33">
        <v>2</v>
      </c>
      <c r="CN15" s="33">
        <v>2</v>
      </c>
      <c r="CO15" s="33">
        <v>0</v>
      </c>
      <c r="CP15" s="33">
        <v>2</v>
      </c>
      <c r="CQ15" s="33">
        <v>2</v>
      </c>
    </row>
    <row r="16" spans="1:95">
      <c r="A16" s="28">
        <v>2</v>
      </c>
      <c r="B16" s="15">
        <v>1</v>
      </c>
      <c r="C16" s="15">
        <v>8</v>
      </c>
      <c r="D16" s="29">
        <v>40876</v>
      </c>
      <c r="E16" s="30">
        <v>1</v>
      </c>
      <c r="F16" s="15">
        <v>1986</v>
      </c>
      <c r="G16" s="31">
        <v>6</v>
      </c>
      <c r="H16" s="31">
        <v>1</v>
      </c>
      <c r="I16" s="31">
        <v>0</v>
      </c>
      <c r="J16" s="31">
        <v>0</v>
      </c>
      <c r="K16" s="31">
        <v>1</v>
      </c>
      <c r="L16" s="31">
        <v>2</v>
      </c>
      <c r="M16" s="31">
        <v>3</v>
      </c>
      <c r="N16" s="32">
        <v>0</v>
      </c>
      <c r="O16" s="15">
        <v>6</v>
      </c>
      <c r="P16" s="15">
        <v>1</v>
      </c>
      <c r="Q16" s="15">
        <v>5</v>
      </c>
      <c r="R16" s="15">
        <v>4</v>
      </c>
      <c r="S16" s="15">
        <v>2</v>
      </c>
      <c r="T16" s="15">
        <v>1</v>
      </c>
      <c r="U16" s="15">
        <v>1</v>
      </c>
      <c r="V16" s="15">
        <v>2</v>
      </c>
      <c r="W16" s="15">
        <v>1</v>
      </c>
      <c r="X16" s="15">
        <v>4</v>
      </c>
      <c r="Y16" s="15">
        <v>4</v>
      </c>
      <c r="Z16" s="15">
        <v>7</v>
      </c>
      <c r="AA16" s="15">
        <v>2</v>
      </c>
      <c r="AB16" s="32">
        <v>4</v>
      </c>
      <c r="AC16" s="32">
        <v>4</v>
      </c>
      <c r="AD16" s="32">
        <v>4</v>
      </c>
      <c r="AE16" s="32">
        <v>4</v>
      </c>
      <c r="AF16" s="32">
        <v>3</v>
      </c>
      <c r="AG16" s="32">
        <v>3</v>
      </c>
      <c r="AH16" s="32">
        <v>4</v>
      </c>
      <c r="AI16" s="15"/>
      <c r="AJ16" s="15"/>
      <c r="AK16" s="32">
        <f t="shared" si="9"/>
        <v>0</v>
      </c>
      <c r="AL16" s="32">
        <f t="shared" si="10"/>
        <v>0</v>
      </c>
      <c r="AM16" s="32">
        <f t="shared" si="11"/>
        <v>2</v>
      </c>
      <c r="AN16" s="32">
        <f t="shared" si="12"/>
        <v>5</v>
      </c>
      <c r="AO16" s="32">
        <v>0</v>
      </c>
      <c r="AP16" s="32"/>
      <c r="AQ16" s="32">
        <v>0</v>
      </c>
      <c r="AR16" s="32">
        <v>0</v>
      </c>
      <c r="AS16" s="32">
        <v>0</v>
      </c>
      <c r="AT16" s="32">
        <v>0</v>
      </c>
      <c r="AU16" s="32">
        <v>0</v>
      </c>
      <c r="AV16" s="32">
        <v>0</v>
      </c>
      <c r="AW16" s="32"/>
      <c r="AX16" s="32">
        <v>4</v>
      </c>
      <c r="AY16" s="32">
        <v>4</v>
      </c>
      <c r="AZ16" s="32">
        <v>4</v>
      </c>
      <c r="BA16" s="32">
        <v>4</v>
      </c>
      <c r="BB16" s="32">
        <v>3</v>
      </c>
      <c r="BC16" s="32">
        <v>3</v>
      </c>
      <c r="BD16" s="32">
        <v>4</v>
      </c>
      <c r="BE16" s="15"/>
      <c r="BF16" s="15"/>
      <c r="BG16" s="32">
        <f t="shared" si="13"/>
        <v>0</v>
      </c>
      <c r="BH16" s="32">
        <f t="shared" si="14"/>
        <v>0</v>
      </c>
      <c r="BI16" s="32">
        <f t="shared" si="15"/>
        <v>2</v>
      </c>
      <c r="BJ16" s="32">
        <f t="shared" si="16"/>
        <v>5</v>
      </c>
      <c r="BK16" s="32">
        <f t="shared" si="0"/>
        <v>1</v>
      </c>
      <c r="BL16" s="32">
        <f t="shared" si="1"/>
        <v>1</v>
      </c>
      <c r="BM16" s="32">
        <f t="shared" si="2"/>
        <v>1</v>
      </c>
      <c r="BN16" s="32">
        <f t="shared" si="3"/>
        <v>1</v>
      </c>
      <c r="BO16" s="32">
        <f t="shared" si="4"/>
        <v>1</v>
      </c>
      <c r="BP16" s="32">
        <f t="shared" si="5"/>
        <v>1</v>
      </c>
      <c r="BQ16" s="32">
        <f t="shared" si="6"/>
        <v>1</v>
      </c>
      <c r="BR16" s="32">
        <f t="shared" si="7"/>
        <v>0</v>
      </c>
      <c r="BS16" s="32">
        <f t="shared" si="8"/>
        <v>0</v>
      </c>
      <c r="BT16" s="15"/>
      <c r="BU16" s="15"/>
      <c r="BV16" s="15"/>
      <c r="BW16" s="15"/>
      <c r="BX16" s="15"/>
      <c r="BY16" s="15"/>
      <c r="BZ16" s="15"/>
      <c r="CA16" s="15"/>
      <c r="CB16" s="15"/>
      <c r="CC16" s="33">
        <v>2</v>
      </c>
      <c r="CD16" s="33">
        <v>1</v>
      </c>
      <c r="CE16" s="33">
        <v>2</v>
      </c>
      <c r="CF16" s="33">
        <v>1</v>
      </c>
      <c r="CG16" s="33">
        <v>2</v>
      </c>
      <c r="CH16" s="33">
        <v>1</v>
      </c>
      <c r="CI16" s="33">
        <v>0</v>
      </c>
      <c r="CJ16" s="33">
        <v>2</v>
      </c>
      <c r="CK16" s="33">
        <v>1</v>
      </c>
      <c r="CL16" s="33">
        <v>0</v>
      </c>
      <c r="CM16" s="33">
        <v>2</v>
      </c>
      <c r="CN16" s="33">
        <v>1</v>
      </c>
      <c r="CO16" s="33">
        <v>0</v>
      </c>
      <c r="CP16" s="33">
        <v>2</v>
      </c>
      <c r="CQ16" s="33">
        <v>1</v>
      </c>
    </row>
    <row r="17" spans="1:95">
      <c r="A17" s="28">
        <v>3</v>
      </c>
      <c r="B17" s="15">
        <v>1</v>
      </c>
      <c r="C17" s="15">
        <v>1</v>
      </c>
      <c r="D17" s="29">
        <v>40876</v>
      </c>
      <c r="E17" s="34">
        <v>2</v>
      </c>
      <c r="F17" s="15">
        <v>1988</v>
      </c>
      <c r="G17" s="31">
        <v>3</v>
      </c>
      <c r="H17" s="31">
        <v>1</v>
      </c>
      <c r="I17" s="31">
        <v>0</v>
      </c>
      <c r="J17" s="31">
        <v>0</v>
      </c>
      <c r="K17" s="31">
        <v>2</v>
      </c>
      <c r="L17" s="31">
        <v>2</v>
      </c>
      <c r="M17" s="31">
        <v>3</v>
      </c>
      <c r="N17" s="32">
        <v>2</v>
      </c>
      <c r="O17" s="15">
        <v>2</v>
      </c>
      <c r="P17" s="15">
        <v>1</v>
      </c>
      <c r="Q17" s="15">
        <v>2</v>
      </c>
      <c r="R17" s="15">
        <v>2</v>
      </c>
      <c r="S17" s="15">
        <v>0</v>
      </c>
      <c r="T17" s="15">
        <v>1</v>
      </c>
      <c r="U17" s="15">
        <v>1</v>
      </c>
      <c r="V17" s="15">
        <v>2</v>
      </c>
      <c r="W17" s="15">
        <v>1</v>
      </c>
      <c r="X17" s="15">
        <v>2</v>
      </c>
      <c r="Y17" s="15">
        <v>1</v>
      </c>
      <c r="Z17" s="15">
        <v>8</v>
      </c>
      <c r="AA17" s="15">
        <v>0</v>
      </c>
      <c r="AB17" s="15"/>
      <c r="AC17" s="32">
        <v>4</v>
      </c>
      <c r="AD17" s="32">
        <v>4</v>
      </c>
      <c r="AE17" s="32">
        <v>3</v>
      </c>
      <c r="AF17" s="32">
        <v>3</v>
      </c>
      <c r="AG17" s="32">
        <v>3</v>
      </c>
      <c r="AH17" s="32">
        <v>3</v>
      </c>
      <c r="AI17" s="32">
        <v>3</v>
      </c>
      <c r="AJ17" s="15"/>
      <c r="AK17" s="32">
        <f t="shared" si="9"/>
        <v>0</v>
      </c>
      <c r="AL17" s="32">
        <f t="shared" si="10"/>
        <v>0</v>
      </c>
      <c r="AM17" s="32">
        <f t="shared" si="11"/>
        <v>5</v>
      </c>
      <c r="AN17" s="32">
        <f t="shared" si="12"/>
        <v>2</v>
      </c>
      <c r="AO17" s="32">
        <v>0</v>
      </c>
      <c r="AP17" s="32">
        <v>1</v>
      </c>
      <c r="AQ17" s="32">
        <v>1</v>
      </c>
      <c r="AR17" s="32">
        <v>1</v>
      </c>
      <c r="AS17" s="32">
        <v>1</v>
      </c>
      <c r="AT17" s="32">
        <v>1</v>
      </c>
      <c r="AU17" s="32">
        <v>1</v>
      </c>
      <c r="AV17" s="32"/>
      <c r="AW17" s="32"/>
      <c r="AX17" s="15"/>
      <c r="AY17" s="32">
        <v>4</v>
      </c>
      <c r="AZ17" s="32">
        <v>3</v>
      </c>
      <c r="BA17" s="32">
        <v>3</v>
      </c>
      <c r="BB17" s="32">
        <v>3</v>
      </c>
      <c r="BC17" s="32">
        <v>3</v>
      </c>
      <c r="BD17" s="32">
        <v>3</v>
      </c>
      <c r="BE17" s="32">
        <v>3</v>
      </c>
      <c r="BF17" s="15"/>
      <c r="BG17" s="32">
        <f t="shared" si="13"/>
        <v>0</v>
      </c>
      <c r="BH17" s="32">
        <f t="shared" si="14"/>
        <v>0</v>
      </c>
      <c r="BI17" s="32">
        <f t="shared" si="15"/>
        <v>6</v>
      </c>
      <c r="BJ17" s="32">
        <f t="shared" si="16"/>
        <v>1</v>
      </c>
      <c r="BK17" s="32">
        <f t="shared" si="0"/>
        <v>0</v>
      </c>
      <c r="BL17" s="32">
        <f t="shared" si="1"/>
        <v>1</v>
      </c>
      <c r="BM17" s="32">
        <f t="shared" si="2"/>
        <v>1</v>
      </c>
      <c r="BN17" s="32">
        <f t="shared" si="3"/>
        <v>1</v>
      </c>
      <c r="BO17" s="32">
        <f t="shared" si="4"/>
        <v>1</v>
      </c>
      <c r="BP17" s="32">
        <f t="shared" si="5"/>
        <v>1</v>
      </c>
      <c r="BQ17" s="32">
        <f t="shared" si="6"/>
        <v>1</v>
      </c>
      <c r="BR17" s="32">
        <f t="shared" si="7"/>
        <v>1</v>
      </c>
      <c r="BS17" s="32">
        <f t="shared" si="8"/>
        <v>0</v>
      </c>
      <c r="BT17" s="15"/>
      <c r="BU17" s="15">
        <f>SUM(Raw!AR17:AR23)</f>
        <v>5</v>
      </c>
      <c r="BV17" s="15">
        <f>SUM(Raw!AS17:AS23)</f>
        <v>4</v>
      </c>
      <c r="BW17" s="15">
        <f>SUM(Raw!AT17:AT23)</f>
        <v>2</v>
      </c>
      <c r="BX17" s="15">
        <f>SUM(Raw!AU17:AU23)</f>
        <v>3</v>
      </c>
      <c r="BY17" s="15">
        <f>SUM(Raw!AV17:AV23)</f>
        <v>4</v>
      </c>
      <c r="BZ17" s="15">
        <f>SUM(Raw!AW17:AW23)</f>
        <v>3</v>
      </c>
      <c r="CA17" s="15">
        <f>SUM(Raw!AX17:AX23)</f>
        <v>2</v>
      </c>
      <c r="CB17" s="15"/>
      <c r="CC17" s="33">
        <v>1</v>
      </c>
      <c r="CD17" s="33">
        <v>2</v>
      </c>
      <c r="CE17" s="33">
        <v>2</v>
      </c>
      <c r="CF17" s="33">
        <v>2</v>
      </c>
      <c r="CG17" s="33">
        <v>2</v>
      </c>
      <c r="CH17" s="33">
        <v>2</v>
      </c>
      <c r="CI17" s="33">
        <v>0</v>
      </c>
      <c r="CJ17" s="33">
        <v>2</v>
      </c>
      <c r="CK17" s="33">
        <v>2</v>
      </c>
      <c r="CL17" s="33">
        <v>0</v>
      </c>
      <c r="CM17" s="33">
        <v>2</v>
      </c>
      <c r="CN17" s="33">
        <v>2</v>
      </c>
      <c r="CO17" s="33">
        <v>1</v>
      </c>
      <c r="CP17" s="33">
        <v>1</v>
      </c>
      <c r="CQ17" s="33">
        <v>1</v>
      </c>
    </row>
    <row r="18" spans="1:95">
      <c r="A18" s="28">
        <v>3</v>
      </c>
      <c r="B18" s="15">
        <v>1</v>
      </c>
      <c r="C18" s="15">
        <v>2</v>
      </c>
      <c r="D18" s="29">
        <v>40876</v>
      </c>
      <c r="E18" s="34">
        <v>2</v>
      </c>
      <c r="F18" s="15">
        <v>1989</v>
      </c>
      <c r="G18" s="31">
        <v>3</v>
      </c>
      <c r="H18" s="31">
        <v>1</v>
      </c>
      <c r="I18" s="31">
        <v>1</v>
      </c>
      <c r="J18" s="31">
        <v>1</v>
      </c>
      <c r="K18" s="31">
        <v>2</v>
      </c>
      <c r="L18" s="31">
        <v>2</v>
      </c>
      <c r="M18" s="31">
        <v>2</v>
      </c>
      <c r="N18" s="15">
        <v>4</v>
      </c>
      <c r="O18" s="15">
        <v>1</v>
      </c>
      <c r="P18" s="15">
        <v>0</v>
      </c>
      <c r="Q18" s="15">
        <v>10</v>
      </c>
      <c r="R18" s="15">
        <v>3</v>
      </c>
      <c r="S18" s="15">
        <v>0</v>
      </c>
      <c r="T18" s="15">
        <v>1</v>
      </c>
      <c r="U18" s="15">
        <v>1</v>
      </c>
      <c r="V18" s="15">
        <v>2</v>
      </c>
      <c r="W18" s="15">
        <v>2</v>
      </c>
      <c r="X18" s="15">
        <v>4</v>
      </c>
      <c r="Y18" s="15">
        <v>3</v>
      </c>
      <c r="Z18" s="15">
        <v>6</v>
      </c>
      <c r="AA18" s="15">
        <v>2</v>
      </c>
      <c r="AB18" s="32">
        <v>4</v>
      </c>
      <c r="AC18" s="15"/>
      <c r="AD18" s="32">
        <v>3</v>
      </c>
      <c r="AE18" s="32">
        <v>3</v>
      </c>
      <c r="AF18" s="32">
        <v>3</v>
      </c>
      <c r="AG18" s="32">
        <v>3</v>
      </c>
      <c r="AH18" s="32">
        <v>3</v>
      </c>
      <c r="AI18" s="32">
        <v>2</v>
      </c>
      <c r="AJ18" s="15"/>
      <c r="AK18" s="32">
        <f t="shared" si="9"/>
        <v>0</v>
      </c>
      <c r="AL18" s="32">
        <f t="shared" si="10"/>
        <v>1</v>
      </c>
      <c r="AM18" s="32">
        <f t="shared" si="11"/>
        <v>5</v>
      </c>
      <c r="AN18" s="32">
        <f t="shared" si="12"/>
        <v>1</v>
      </c>
      <c r="AO18" s="32">
        <v>1</v>
      </c>
      <c r="AP18" s="32">
        <v>0</v>
      </c>
      <c r="AQ18" s="32">
        <v>1</v>
      </c>
      <c r="AR18" s="32">
        <v>1</v>
      </c>
      <c r="AS18" s="32">
        <v>1</v>
      </c>
      <c r="AT18" s="32">
        <v>1</v>
      </c>
      <c r="AU18" s="32">
        <v>1</v>
      </c>
      <c r="AV18" s="32"/>
      <c r="AW18" s="32"/>
      <c r="AX18" s="32">
        <v>4</v>
      </c>
      <c r="AY18" s="15"/>
      <c r="AZ18" s="32">
        <v>3</v>
      </c>
      <c r="BA18" s="32">
        <v>2</v>
      </c>
      <c r="BB18" s="32">
        <v>3</v>
      </c>
      <c r="BC18" s="32">
        <v>3</v>
      </c>
      <c r="BD18" s="32">
        <v>3</v>
      </c>
      <c r="BE18" s="32">
        <v>2</v>
      </c>
      <c r="BF18" s="15"/>
      <c r="BG18" s="32">
        <f t="shared" si="13"/>
        <v>0</v>
      </c>
      <c r="BH18" s="32">
        <f t="shared" si="14"/>
        <v>2</v>
      </c>
      <c r="BI18" s="32">
        <f t="shared" si="15"/>
        <v>4</v>
      </c>
      <c r="BJ18" s="32">
        <f t="shared" si="16"/>
        <v>1</v>
      </c>
      <c r="BK18" s="32">
        <f t="shared" si="0"/>
        <v>1</v>
      </c>
      <c r="BL18" s="32">
        <f t="shared" si="1"/>
        <v>0</v>
      </c>
      <c r="BM18" s="32">
        <f t="shared" si="2"/>
        <v>1</v>
      </c>
      <c r="BN18" s="32">
        <f t="shared" si="3"/>
        <v>0</v>
      </c>
      <c r="BO18" s="32">
        <f t="shared" si="4"/>
        <v>1</v>
      </c>
      <c r="BP18" s="32">
        <f t="shared" si="5"/>
        <v>1</v>
      </c>
      <c r="BQ18" s="32">
        <f t="shared" si="6"/>
        <v>1</v>
      </c>
      <c r="BR18" s="32">
        <f t="shared" si="7"/>
        <v>0</v>
      </c>
      <c r="BS18" s="32">
        <f t="shared" si="8"/>
        <v>0</v>
      </c>
      <c r="BT18" s="15">
        <f>SUM(Raw!AR17:AR23)</f>
        <v>5</v>
      </c>
      <c r="BU18" s="15"/>
      <c r="BV18" s="15">
        <f>SUM(Raw!AZ17:AZ23)</f>
        <v>4</v>
      </c>
      <c r="BW18" s="15">
        <f>SUM(Raw!BA17:BA23)</f>
        <v>2</v>
      </c>
      <c r="BX18" s="15">
        <f>SUM(Raw!BB17:BB23)</f>
        <v>2</v>
      </c>
      <c r="BY18" s="15">
        <f>SUM(Raw!BC17:BC23)</f>
        <v>4</v>
      </c>
      <c r="BZ18" s="15">
        <f>SUM(Raw!BD17:BD23)</f>
        <v>2</v>
      </c>
      <c r="CA18" s="15">
        <f>SUM(Raw!BE17:BE23)</f>
        <v>1</v>
      </c>
      <c r="CB18" s="15"/>
      <c r="CC18" s="33">
        <v>1</v>
      </c>
      <c r="CD18" s="33">
        <v>2</v>
      </c>
      <c r="CE18" s="33">
        <v>1</v>
      </c>
      <c r="CF18" s="33">
        <v>2</v>
      </c>
      <c r="CG18" s="33">
        <v>1</v>
      </c>
      <c r="CH18" s="33">
        <v>2</v>
      </c>
      <c r="CI18" s="33">
        <v>1</v>
      </c>
      <c r="CJ18" s="33">
        <v>2</v>
      </c>
      <c r="CK18" s="33">
        <v>2</v>
      </c>
      <c r="CL18" s="33">
        <v>1</v>
      </c>
      <c r="CM18" s="33">
        <v>1</v>
      </c>
      <c r="CN18" s="33">
        <v>1</v>
      </c>
      <c r="CO18" s="33">
        <v>0</v>
      </c>
      <c r="CP18" s="33">
        <v>2</v>
      </c>
      <c r="CQ18" s="33">
        <v>1</v>
      </c>
    </row>
    <row r="19" spans="1:95">
      <c r="A19" s="28">
        <v>3</v>
      </c>
      <c r="B19" s="15">
        <v>1</v>
      </c>
      <c r="C19" s="15">
        <v>3</v>
      </c>
      <c r="D19" s="29">
        <v>40876</v>
      </c>
      <c r="E19" s="34">
        <v>2</v>
      </c>
      <c r="F19" s="15">
        <v>1990</v>
      </c>
      <c r="G19" s="31">
        <v>3</v>
      </c>
      <c r="H19" s="31">
        <v>1</v>
      </c>
      <c r="I19" s="31">
        <v>0</v>
      </c>
      <c r="J19" s="31">
        <v>1</v>
      </c>
      <c r="K19" s="31">
        <v>2</v>
      </c>
      <c r="L19" s="31">
        <v>2</v>
      </c>
      <c r="M19" s="31">
        <v>3</v>
      </c>
      <c r="N19" s="32">
        <v>2</v>
      </c>
      <c r="O19" s="15">
        <v>3</v>
      </c>
      <c r="P19" s="15">
        <v>1</v>
      </c>
      <c r="Q19" s="15">
        <v>5</v>
      </c>
      <c r="R19" s="15">
        <v>3</v>
      </c>
      <c r="S19" s="15">
        <v>1</v>
      </c>
      <c r="T19" s="15">
        <v>4</v>
      </c>
      <c r="U19" s="15">
        <v>1</v>
      </c>
      <c r="V19" s="15">
        <v>2</v>
      </c>
      <c r="W19" s="15">
        <v>2</v>
      </c>
      <c r="X19" s="15">
        <v>3</v>
      </c>
      <c r="Y19" s="15">
        <v>3</v>
      </c>
      <c r="Z19" s="15">
        <v>3</v>
      </c>
      <c r="AA19" s="15">
        <v>2</v>
      </c>
      <c r="AB19" s="32">
        <v>3</v>
      </c>
      <c r="AC19" s="32">
        <v>3</v>
      </c>
      <c r="AD19" s="15"/>
      <c r="AE19" s="32">
        <v>4</v>
      </c>
      <c r="AF19" s="32">
        <v>3</v>
      </c>
      <c r="AG19" s="32">
        <v>4</v>
      </c>
      <c r="AH19" s="32">
        <v>4</v>
      </c>
      <c r="AI19" s="32">
        <v>3</v>
      </c>
      <c r="AJ19" s="15"/>
      <c r="AK19" s="32">
        <f t="shared" si="9"/>
        <v>0</v>
      </c>
      <c r="AL19" s="32">
        <f t="shared" si="10"/>
        <v>0</v>
      </c>
      <c r="AM19" s="32">
        <f t="shared" si="11"/>
        <v>4</v>
      </c>
      <c r="AN19" s="32">
        <f t="shared" si="12"/>
        <v>3</v>
      </c>
      <c r="AO19" s="32">
        <v>1</v>
      </c>
      <c r="AP19" s="32">
        <v>1</v>
      </c>
      <c r="AQ19" s="32">
        <v>0</v>
      </c>
      <c r="AR19" s="32">
        <v>1</v>
      </c>
      <c r="AS19" s="32">
        <v>1</v>
      </c>
      <c r="AT19" s="32">
        <v>1</v>
      </c>
      <c r="AU19" s="32">
        <v>1</v>
      </c>
      <c r="AV19" s="32"/>
      <c r="AW19" s="32"/>
      <c r="AX19" s="32">
        <v>3</v>
      </c>
      <c r="AY19" s="32">
        <v>3</v>
      </c>
      <c r="AZ19" s="15"/>
      <c r="BA19" s="32">
        <v>4</v>
      </c>
      <c r="BB19" s="32">
        <v>3</v>
      </c>
      <c r="BC19" s="32">
        <v>4</v>
      </c>
      <c r="BD19" s="32">
        <v>3</v>
      </c>
      <c r="BE19" s="32">
        <v>3</v>
      </c>
      <c r="BF19" s="15"/>
      <c r="BG19" s="32">
        <f t="shared" si="13"/>
        <v>0</v>
      </c>
      <c r="BH19" s="32">
        <f t="shared" si="14"/>
        <v>0</v>
      </c>
      <c r="BI19" s="32">
        <f t="shared" si="15"/>
        <v>5</v>
      </c>
      <c r="BJ19" s="32">
        <f t="shared" si="16"/>
        <v>2</v>
      </c>
      <c r="BK19" s="32">
        <f t="shared" si="0"/>
        <v>1</v>
      </c>
      <c r="BL19" s="32">
        <f t="shared" si="1"/>
        <v>1</v>
      </c>
      <c r="BM19" s="32">
        <f t="shared" si="2"/>
        <v>0</v>
      </c>
      <c r="BN19" s="32">
        <f t="shared" si="3"/>
        <v>1</v>
      </c>
      <c r="BO19" s="32">
        <f t="shared" si="4"/>
        <v>1</v>
      </c>
      <c r="BP19" s="32">
        <f t="shared" si="5"/>
        <v>1</v>
      </c>
      <c r="BQ19" s="32">
        <f t="shared" si="6"/>
        <v>1</v>
      </c>
      <c r="BR19" s="32">
        <f t="shared" si="7"/>
        <v>1</v>
      </c>
      <c r="BS19" s="32">
        <f t="shared" si="8"/>
        <v>0</v>
      </c>
      <c r="BT19" s="15">
        <f>SUM(Raw!AS17:AS23)</f>
        <v>4</v>
      </c>
      <c r="BU19" s="15">
        <f>SUM(Raw!AZ17:AZ23)</f>
        <v>4</v>
      </c>
      <c r="BV19" s="15"/>
      <c r="BW19" s="15">
        <f>SUM(Raw!BG17:BG24)</f>
        <v>4</v>
      </c>
      <c r="BX19" s="15">
        <f>SUM(Raw!BH17:BH24)</f>
        <v>2</v>
      </c>
      <c r="BY19" s="15">
        <f>SUM(Raw!BI17:BI24)</f>
        <v>3</v>
      </c>
      <c r="BZ19" s="15">
        <f>SUM(Raw!BJ17:BJ24)</f>
        <v>2</v>
      </c>
      <c r="CA19" s="15">
        <f>SUM(Raw!BK17:BK24)</f>
        <v>2</v>
      </c>
      <c r="CB19" s="15"/>
      <c r="CC19" s="33">
        <v>2</v>
      </c>
      <c r="CD19" s="33">
        <v>2</v>
      </c>
      <c r="CE19" s="33">
        <v>1</v>
      </c>
      <c r="CF19" s="33">
        <v>2</v>
      </c>
      <c r="CG19" s="33">
        <v>1</v>
      </c>
      <c r="CH19" s="33">
        <v>2</v>
      </c>
      <c r="CI19" s="33">
        <v>1</v>
      </c>
      <c r="CJ19" s="33">
        <v>1</v>
      </c>
      <c r="CK19" s="33">
        <v>1</v>
      </c>
      <c r="CL19" s="33">
        <v>1</v>
      </c>
      <c r="CM19" s="33">
        <v>2</v>
      </c>
      <c r="CN19" s="33">
        <v>2</v>
      </c>
      <c r="CO19" s="33">
        <v>0</v>
      </c>
      <c r="CP19" s="33">
        <v>1</v>
      </c>
      <c r="CQ19" s="33">
        <v>2</v>
      </c>
    </row>
    <row r="20" spans="1:95">
      <c r="A20" s="28">
        <v>3</v>
      </c>
      <c r="B20" s="15">
        <v>1</v>
      </c>
      <c r="C20" s="15">
        <v>4</v>
      </c>
      <c r="D20" s="29">
        <v>40876</v>
      </c>
      <c r="E20" s="34">
        <v>2</v>
      </c>
      <c r="F20" s="15">
        <v>1990</v>
      </c>
      <c r="G20" s="31">
        <v>3</v>
      </c>
      <c r="H20" s="31">
        <v>1</v>
      </c>
      <c r="I20" s="31">
        <v>0</v>
      </c>
      <c r="J20" s="31">
        <v>2</v>
      </c>
      <c r="K20" s="31">
        <v>2</v>
      </c>
      <c r="L20" s="31">
        <v>1</v>
      </c>
      <c r="M20" s="32">
        <v>5</v>
      </c>
      <c r="N20" s="32">
        <v>2</v>
      </c>
      <c r="O20" s="15">
        <v>2</v>
      </c>
      <c r="P20" s="15">
        <v>1</v>
      </c>
      <c r="Q20" s="15">
        <v>1</v>
      </c>
      <c r="R20" s="15">
        <v>2</v>
      </c>
      <c r="S20" s="15">
        <v>0</v>
      </c>
      <c r="T20" s="15">
        <v>2</v>
      </c>
      <c r="U20" s="15">
        <v>1</v>
      </c>
      <c r="V20" s="15">
        <v>2</v>
      </c>
      <c r="W20" s="15">
        <v>2</v>
      </c>
      <c r="X20" s="15">
        <v>1</v>
      </c>
      <c r="Y20" s="15">
        <v>1</v>
      </c>
      <c r="Z20" s="15">
        <v>3</v>
      </c>
      <c r="AA20" s="15">
        <v>1</v>
      </c>
      <c r="AB20" s="32">
        <v>4</v>
      </c>
      <c r="AC20" s="32">
        <v>3</v>
      </c>
      <c r="AD20" s="32">
        <v>4</v>
      </c>
      <c r="AE20" s="15"/>
      <c r="AF20" s="32">
        <v>3</v>
      </c>
      <c r="AG20" s="32">
        <v>3</v>
      </c>
      <c r="AH20" s="32">
        <v>3</v>
      </c>
      <c r="AI20" s="32">
        <v>2</v>
      </c>
      <c r="AJ20" s="15"/>
      <c r="AK20" s="32">
        <f t="shared" si="9"/>
        <v>0</v>
      </c>
      <c r="AL20" s="32">
        <f t="shared" si="10"/>
        <v>1</v>
      </c>
      <c r="AM20" s="32">
        <f t="shared" si="11"/>
        <v>4</v>
      </c>
      <c r="AN20" s="32">
        <f t="shared" si="12"/>
        <v>2</v>
      </c>
      <c r="AO20" s="32">
        <v>1</v>
      </c>
      <c r="AP20" s="32">
        <v>1</v>
      </c>
      <c r="AQ20" s="32">
        <v>1</v>
      </c>
      <c r="AR20" s="32">
        <v>0</v>
      </c>
      <c r="AS20" s="32">
        <v>1</v>
      </c>
      <c r="AT20" s="32">
        <v>1</v>
      </c>
      <c r="AU20" s="32">
        <v>1</v>
      </c>
      <c r="AV20" s="32"/>
      <c r="AW20" s="32"/>
      <c r="AX20" s="32">
        <v>3</v>
      </c>
      <c r="AY20" s="32">
        <v>3</v>
      </c>
      <c r="AZ20" s="32">
        <v>4</v>
      </c>
      <c r="BA20" s="15"/>
      <c r="BB20" s="32">
        <v>3</v>
      </c>
      <c r="BC20" s="32">
        <v>3</v>
      </c>
      <c r="BD20" s="32">
        <v>2</v>
      </c>
      <c r="BE20" s="32">
        <v>2</v>
      </c>
      <c r="BF20" s="15"/>
      <c r="BG20" s="32">
        <f t="shared" si="13"/>
        <v>0</v>
      </c>
      <c r="BH20" s="32">
        <f t="shared" si="14"/>
        <v>2</v>
      </c>
      <c r="BI20" s="32">
        <f t="shared" si="15"/>
        <v>4</v>
      </c>
      <c r="BJ20" s="32">
        <f t="shared" si="16"/>
        <v>1</v>
      </c>
      <c r="BK20" s="32">
        <f t="shared" si="0"/>
        <v>1</v>
      </c>
      <c r="BL20" s="32">
        <f t="shared" si="1"/>
        <v>1</v>
      </c>
      <c r="BM20" s="32">
        <f t="shared" si="2"/>
        <v>1</v>
      </c>
      <c r="BN20" s="32">
        <f t="shared" si="3"/>
        <v>0</v>
      </c>
      <c r="BO20" s="32">
        <f t="shared" si="4"/>
        <v>1</v>
      </c>
      <c r="BP20" s="32">
        <f t="shared" si="5"/>
        <v>1</v>
      </c>
      <c r="BQ20" s="32">
        <f t="shared" si="6"/>
        <v>0</v>
      </c>
      <c r="BR20" s="32">
        <f t="shared" si="7"/>
        <v>0</v>
      </c>
      <c r="BS20" s="32">
        <f t="shared" si="8"/>
        <v>0</v>
      </c>
      <c r="BT20" s="15">
        <f>SUM(Raw!AT17:AT23)</f>
        <v>2</v>
      </c>
      <c r="BU20" s="15">
        <f>SUM(Raw!BA17:BA23)</f>
        <v>2</v>
      </c>
      <c r="BV20" s="15">
        <f>SUM(Raw!BG17:BG23)</f>
        <v>4</v>
      </c>
      <c r="BW20" s="15"/>
      <c r="BX20" s="15">
        <f>SUM(Raw!BM17:BM23)</f>
        <v>1</v>
      </c>
      <c r="BY20" s="15">
        <f>SUM(Raw!BN17:BN23)</f>
        <v>3</v>
      </c>
      <c r="BZ20" s="15">
        <f>SUM(Raw!BO17:BO23)</f>
        <v>1</v>
      </c>
      <c r="CA20" s="15">
        <f>SUM(Raw!BP17:BP23)</f>
        <v>0</v>
      </c>
      <c r="CB20" s="15"/>
      <c r="CC20" s="33">
        <v>2</v>
      </c>
      <c r="CD20" s="33">
        <v>1</v>
      </c>
      <c r="CE20" s="33">
        <v>2</v>
      </c>
      <c r="CF20" s="33">
        <v>2</v>
      </c>
      <c r="CG20" s="33">
        <v>1</v>
      </c>
      <c r="CH20" s="33">
        <v>2</v>
      </c>
      <c r="CI20" s="33">
        <v>1</v>
      </c>
      <c r="CJ20" s="33">
        <v>1</v>
      </c>
      <c r="CK20" s="33">
        <v>1</v>
      </c>
      <c r="CL20" s="33">
        <v>1</v>
      </c>
      <c r="CM20" s="33">
        <v>2</v>
      </c>
      <c r="CN20" s="33">
        <v>1</v>
      </c>
      <c r="CO20" s="33">
        <v>1</v>
      </c>
      <c r="CP20" s="33">
        <v>2</v>
      </c>
      <c r="CQ20" s="33">
        <v>2</v>
      </c>
    </row>
    <row r="21" spans="1:95">
      <c r="A21" s="28">
        <v>3</v>
      </c>
      <c r="B21" s="15">
        <v>1</v>
      </c>
      <c r="C21" s="15">
        <v>5</v>
      </c>
      <c r="D21" s="29">
        <v>40876</v>
      </c>
      <c r="E21" s="34">
        <v>2</v>
      </c>
      <c r="F21" s="15">
        <v>1993</v>
      </c>
      <c r="G21" s="31">
        <v>3</v>
      </c>
      <c r="H21" s="31">
        <v>1</v>
      </c>
      <c r="I21" s="31">
        <v>0</v>
      </c>
      <c r="J21" s="31">
        <v>0</v>
      </c>
      <c r="K21" s="31">
        <v>0</v>
      </c>
      <c r="L21" s="31">
        <v>0</v>
      </c>
      <c r="M21" s="31">
        <v>3</v>
      </c>
      <c r="N21" s="32">
        <v>0</v>
      </c>
      <c r="O21" s="15">
        <v>3</v>
      </c>
      <c r="P21" s="15">
        <v>0</v>
      </c>
      <c r="Q21" s="15">
        <v>4</v>
      </c>
      <c r="R21" s="15">
        <v>3</v>
      </c>
      <c r="S21" s="15">
        <v>1</v>
      </c>
      <c r="T21" s="15">
        <v>3</v>
      </c>
      <c r="U21" s="15">
        <v>1</v>
      </c>
      <c r="V21" s="15">
        <v>2</v>
      </c>
      <c r="W21" s="15">
        <v>1</v>
      </c>
      <c r="X21" s="15">
        <v>2</v>
      </c>
      <c r="Y21" s="15">
        <v>1</v>
      </c>
      <c r="Z21" s="15">
        <v>7</v>
      </c>
      <c r="AA21" s="15">
        <v>2</v>
      </c>
      <c r="AB21" s="32">
        <v>4</v>
      </c>
      <c r="AC21" s="32">
        <v>3</v>
      </c>
      <c r="AD21" s="32">
        <v>4</v>
      </c>
      <c r="AE21" s="32">
        <v>3</v>
      </c>
      <c r="AF21" s="15"/>
      <c r="AG21" s="32">
        <v>4</v>
      </c>
      <c r="AH21" s="32">
        <v>4</v>
      </c>
      <c r="AI21" s="32">
        <v>3</v>
      </c>
      <c r="AJ21" s="15"/>
      <c r="AK21" s="32">
        <f t="shared" si="9"/>
        <v>0</v>
      </c>
      <c r="AL21" s="32">
        <f t="shared" si="10"/>
        <v>0</v>
      </c>
      <c r="AM21" s="32">
        <f t="shared" si="11"/>
        <v>3</v>
      </c>
      <c r="AN21" s="32">
        <f t="shared" si="12"/>
        <v>4</v>
      </c>
      <c r="AO21" s="32">
        <v>1</v>
      </c>
      <c r="AP21" s="32">
        <v>1</v>
      </c>
      <c r="AQ21" s="32">
        <v>1</v>
      </c>
      <c r="AR21" s="32">
        <v>1</v>
      </c>
      <c r="AS21" s="32">
        <v>0</v>
      </c>
      <c r="AT21" s="32">
        <v>1</v>
      </c>
      <c r="AU21" s="32">
        <v>1</v>
      </c>
      <c r="AV21" s="32"/>
      <c r="AW21" s="32"/>
      <c r="AX21" s="32">
        <v>3</v>
      </c>
      <c r="AY21" s="32">
        <v>3</v>
      </c>
      <c r="AZ21" s="32">
        <v>3</v>
      </c>
      <c r="BA21" s="32">
        <v>3</v>
      </c>
      <c r="BB21" s="15"/>
      <c r="BC21" s="32">
        <v>4</v>
      </c>
      <c r="BD21" s="32">
        <v>4</v>
      </c>
      <c r="BE21" s="32">
        <v>3</v>
      </c>
      <c r="BF21" s="15"/>
      <c r="BG21" s="32">
        <f t="shared" si="13"/>
        <v>0</v>
      </c>
      <c r="BH21" s="32">
        <f t="shared" si="14"/>
        <v>0</v>
      </c>
      <c r="BI21" s="32">
        <f t="shared" si="15"/>
        <v>5</v>
      </c>
      <c r="BJ21" s="32">
        <f t="shared" si="16"/>
        <v>2</v>
      </c>
      <c r="BK21" s="32">
        <f t="shared" si="0"/>
        <v>1</v>
      </c>
      <c r="BL21" s="32">
        <f t="shared" si="1"/>
        <v>1</v>
      </c>
      <c r="BM21" s="32">
        <f t="shared" si="2"/>
        <v>1</v>
      </c>
      <c r="BN21" s="32">
        <f t="shared" si="3"/>
        <v>1</v>
      </c>
      <c r="BO21" s="32">
        <f t="shared" si="4"/>
        <v>0</v>
      </c>
      <c r="BP21" s="32">
        <f t="shared" si="5"/>
        <v>1</v>
      </c>
      <c r="BQ21" s="32">
        <f t="shared" si="6"/>
        <v>1</v>
      </c>
      <c r="BR21" s="32">
        <f t="shared" si="7"/>
        <v>1</v>
      </c>
      <c r="BS21" s="32">
        <f t="shared" si="8"/>
        <v>0</v>
      </c>
      <c r="BT21" s="15">
        <f>SUM(Raw!AU17:AU23)</f>
        <v>3</v>
      </c>
      <c r="BU21" s="15">
        <f>SUM(Raw!BB17:BB23)</f>
        <v>2</v>
      </c>
      <c r="BV21" s="15">
        <f>SUM(Raw!BH17:BH23)</f>
        <v>2</v>
      </c>
      <c r="BW21" s="15">
        <f>SUM(Raw!BM17:BM23)</f>
        <v>1</v>
      </c>
      <c r="BX21" s="15"/>
      <c r="BY21" s="15">
        <f>SUM(Raw!BR17:BR23)</f>
        <v>2</v>
      </c>
      <c r="BZ21" s="15">
        <f>SUM(Raw!BS17:BS23)</f>
        <v>3</v>
      </c>
      <c r="CA21" s="15">
        <f>SUM(Raw!BT17:BT23)</f>
        <v>0</v>
      </c>
      <c r="CB21" s="15"/>
      <c r="CC21" s="33">
        <v>2</v>
      </c>
      <c r="CD21" s="33">
        <v>2</v>
      </c>
      <c r="CE21" s="33">
        <v>2</v>
      </c>
      <c r="CF21" s="33">
        <v>2</v>
      </c>
      <c r="CG21" s="33">
        <v>2</v>
      </c>
      <c r="CH21" s="33">
        <v>2</v>
      </c>
      <c r="CI21" s="33">
        <v>1</v>
      </c>
      <c r="CJ21" s="33">
        <v>2</v>
      </c>
      <c r="CK21" s="33">
        <v>2</v>
      </c>
      <c r="CL21" s="33">
        <v>0</v>
      </c>
      <c r="CM21" s="33">
        <v>1</v>
      </c>
      <c r="CN21" s="33">
        <v>2</v>
      </c>
      <c r="CO21" s="33">
        <v>0</v>
      </c>
      <c r="CP21" s="33">
        <v>2</v>
      </c>
      <c r="CQ21" s="33">
        <v>2</v>
      </c>
    </row>
    <row r="22" spans="1:95">
      <c r="A22" s="28">
        <v>3</v>
      </c>
      <c r="B22" s="15">
        <v>1</v>
      </c>
      <c r="C22" s="15">
        <v>6</v>
      </c>
      <c r="D22" s="29">
        <v>40876</v>
      </c>
      <c r="E22" s="34">
        <v>2</v>
      </c>
      <c r="F22" s="15">
        <v>1990</v>
      </c>
      <c r="G22" s="31">
        <v>3</v>
      </c>
      <c r="H22" s="31">
        <v>1</v>
      </c>
      <c r="I22" s="31">
        <v>0</v>
      </c>
      <c r="J22" s="31">
        <v>1</v>
      </c>
      <c r="K22" s="31">
        <v>2</v>
      </c>
      <c r="L22" s="31">
        <v>1</v>
      </c>
      <c r="M22" s="31">
        <v>0</v>
      </c>
      <c r="N22" s="15">
        <v>0</v>
      </c>
      <c r="O22" s="15"/>
      <c r="P22" s="15">
        <v>0</v>
      </c>
      <c r="Q22" s="15">
        <v>8</v>
      </c>
      <c r="R22" s="15">
        <v>6</v>
      </c>
      <c r="S22" s="15">
        <v>0</v>
      </c>
      <c r="T22" s="15">
        <v>2</v>
      </c>
      <c r="U22" s="15">
        <v>1</v>
      </c>
      <c r="V22" s="15">
        <v>2</v>
      </c>
      <c r="W22" s="15">
        <v>0</v>
      </c>
      <c r="X22" s="15">
        <v>4</v>
      </c>
      <c r="Y22" s="15">
        <v>4</v>
      </c>
      <c r="Z22" s="15">
        <v>8</v>
      </c>
      <c r="AA22" s="15">
        <v>0</v>
      </c>
      <c r="AB22" s="32">
        <v>4</v>
      </c>
      <c r="AC22" s="32">
        <v>4</v>
      </c>
      <c r="AD22" s="32">
        <v>4</v>
      </c>
      <c r="AE22" s="32">
        <v>4</v>
      </c>
      <c r="AF22" s="32">
        <v>4</v>
      </c>
      <c r="AG22" s="15"/>
      <c r="AH22" s="32">
        <v>4</v>
      </c>
      <c r="AI22" s="32">
        <v>4</v>
      </c>
      <c r="AJ22" s="15"/>
      <c r="AK22" s="32">
        <f t="shared" si="9"/>
        <v>0</v>
      </c>
      <c r="AL22" s="32">
        <f t="shared" si="10"/>
        <v>0</v>
      </c>
      <c r="AM22" s="32">
        <f t="shared" si="11"/>
        <v>0</v>
      </c>
      <c r="AN22" s="32">
        <f t="shared" si="12"/>
        <v>7</v>
      </c>
      <c r="AO22" s="32">
        <v>1</v>
      </c>
      <c r="AP22" s="32">
        <v>1</v>
      </c>
      <c r="AQ22" s="32">
        <v>1</v>
      </c>
      <c r="AR22" s="32">
        <v>1</v>
      </c>
      <c r="AS22" s="32">
        <v>1</v>
      </c>
      <c r="AT22" s="32">
        <v>0</v>
      </c>
      <c r="AU22" s="32">
        <v>1</v>
      </c>
      <c r="AV22" s="32"/>
      <c r="AW22" s="32"/>
      <c r="AX22" s="32">
        <v>4</v>
      </c>
      <c r="AY22" s="32">
        <v>3</v>
      </c>
      <c r="AZ22" s="32">
        <v>4</v>
      </c>
      <c r="BA22" s="32">
        <v>3</v>
      </c>
      <c r="BB22" s="32">
        <v>3</v>
      </c>
      <c r="BC22" s="15"/>
      <c r="BD22" s="32">
        <v>4</v>
      </c>
      <c r="BE22" s="32">
        <v>3</v>
      </c>
      <c r="BF22" s="15"/>
      <c r="BG22" s="32">
        <f t="shared" si="13"/>
        <v>0</v>
      </c>
      <c r="BH22" s="32">
        <f t="shared" si="14"/>
        <v>0</v>
      </c>
      <c r="BI22" s="32">
        <f t="shared" si="15"/>
        <v>4</v>
      </c>
      <c r="BJ22" s="32">
        <f t="shared" si="16"/>
        <v>3</v>
      </c>
      <c r="BK22" s="32">
        <f t="shared" si="0"/>
        <v>1</v>
      </c>
      <c r="BL22" s="32">
        <f t="shared" si="1"/>
        <v>1</v>
      </c>
      <c r="BM22" s="32">
        <f t="shared" si="2"/>
        <v>1</v>
      </c>
      <c r="BN22" s="32">
        <f t="shared" si="3"/>
        <v>1</v>
      </c>
      <c r="BO22" s="32">
        <f t="shared" si="4"/>
        <v>1</v>
      </c>
      <c r="BP22" s="32">
        <f t="shared" si="5"/>
        <v>0</v>
      </c>
      <c r="BQ22" s="32">
        <f t="shared" si="6"/>
        <v>1</v>
      </c>
      <c r="BR22" s="32">
        <f t="shared" si="7"/>
        <v>1</v>
      </c>
      <c r="BS22" s="32">
        <f t="shared" si="8"/>
        <v>0</v>
      </c>
      <c r="BT22" s="15">
        <f>SUM(Raw!AV17:AV23)</f>
        <v>4</v>
      </c>
      <c r="BU22" s="15">
        <f>SUM(Raw!BC17:BC23)</f>
        <v>4</v>
      </c>
      <c r="BV22" s="15">
        <f>SUM(Raw!BI17:BI23)</f>
        <v>3</v>
      </c>
      <c r="BW22" s="15">
        <f>SUM(Raw!BN17:BN23)</f>
        <v>3</v>
      </c>
      <c r="BX22" s="15">
        <f>SUM(Raw!BR17:BR23)</f>
        <v>2</v>
      </c>
      <c r="BY22" s="15"/>
      <c r="BZ22" s="15">
        <f>SUM(Raw!BV17:BV23)</f>
        <v>3</v>
      </c>
      <c r="CA22" s="15">
        <f>SUM(Raw!BW17:BW23)</f>
        <v>0</v>
      </c>
      <c r="CB22" s="15"/>
      <c r="CC22" s="33">
        <v>2</v>
      </c>
      <c r="CD22" s="33">
        <v>2</v>
      </c>
      <c r="CE22" s="33">
        <v>1</v>
      </c>
      <c r="CF22" s="33">
        <v>2</v>
      </c>
      <c r="CG22" s="33">
        <v>1</v>
      </c>
      <c r="CH22" s="33">
        <v>2</v>
      </c>
      <c r="CI22" s="33">
        <v>1</v>
      </c>
      <c r="CJ22" s="33">
        <v>2</v>
      </c>
      <c r="CK22" s="33">
        <v>2</v>
      </c>
      <c r="CL22" s="33">
        <v>0</v>
      </c>
      <c r="CM22" s="33">
        <v>2</v>
      </c>
      <c r="CN22" s="33">
        <v>2</v>
      </c>
      <c r="CO22" s="33">
        <v>0</v>
      </c>
      <c r="CP22" s="33">
        <v>1</v>
      </c>
      <c r="CQ22" s="33">
        <v>2</v>
      </c>
    </row>
    <row r="23" spans="1:95">
      <c r="A23" s="28">
        <v>3</v>
      </c>
      <c r="B23" s="15">
        <v>1</v>
      </c>
      <c r="C23" s="15">
        <v>7</v>
      </c>
      <c r="D23" s="29">
        <v>40876</v>
      </c>
      <c r="E23" s="34">
        <v>2</v>
      </c>
      <c r="F23" s="15">
        <v>1988</v>
      </c>
      <c r="G23" s="31">
        <v>3</v>
      </c>
      <c r="H23" s="31">
        <v>1</v>
      </c>
      <c r="I23" s="31">
        <v>0</v>
      </c>
      <c r="J23" s="31">
        <v>1</v>
      </c>
      <c r="K23" s="31">
        <v>1</v>
      </c>
      <c r="L23" s="31">
        <v>0</v>
      </c>
      <c r="M23" s="31">
        <v>3</v>
      </c>
      <c r="N23" s="32">
        <v>0</v>
      </c>
      <c r="O23" s="15">
        <v>5</v>
      </c>
      <c r="P23" s="15">
        <v>1</v>
      </c>
      <c r="Q23" s="15">
        <v>3</v>
      </c>
      <c r="R23" s="15">
        <v>2</v>
      </c>
      <c r="S23" s="15">
        <v>1</v>
      </c>
      <c r="T23" s="15">
        <v>1</v>
      </c>
      <c r="U23" s="15">
        <v>0</v>
      </c>
      <c r="V23" s="15">
        <v>2</v>
      </c>
      <c r="W23" s="15">
        <v>2</v>
      </c>
      <c r="X23" s="15">
        <v>3</v>
      </c>
      <c r="Y23" s="15">
        <v>3</v>
      </c>
      <c r="Z23" s="15">
        <v>7</v>
      </c>
      <c r="AA23" s="15">
        <v>0</v>
      </c>
      <c r="AB23" s="32">
        <v>4</v>
      </c>
      <c r="AC23" s="32">
        <v>3</v>
      </c>
      <c r="AD23" s="32">
        <v>4</v>
      </c>
      <c r="AE23" s="32">
        <v>3</v>
      </c>
      <c r="AF23" s="32">
        <v>4</v>
      </c>
      <c r="AG23" s="32">
        <v>4</v>
      </c>
      <c r="AH23" s="15"/>
      <c r="AI23" s="32">
        <v>3</v>
      </c>
      <c r="AJ23" s="15"/>
      <c r="AK23" s="32">
        <f t="shared" si="9"/>
        <v>0</v>
      </c>
      <c r="AL23" s="32">
        <f t="shared" si="10"/>
        <v>0</v>
      </c>
      <c r="AM23" s="32">
        <f t="shared" si="11"/>
        <v>3</v>
      </c>
      <c r="AN23" s="32">
        <f t="shared" si="12"/>
        <v>4</v>
      </c>
      <c r="AO23" s="32">
        <v>1</v>
      </c>
      <c r="AP23" s="32">
        <v>1</v>
      </c>
      <c r="AQ23" s="32">
        <v>1</v>
      </c>
      <c r="AR23" s="32">
        <v>1</v>
      </c>
      <c r="AS23" s="32">
        <v>1</v>
      </c>
      <c r="AT23" s="32">
        <v>1</v>
      </c>
      <c r="AU23" s="32">
        <v>0</v>
      </c>
      <c r="AV23" s="32"/>
      <c r="AW23" s="32"/>
      <c r="AX23" s="32">
        <v>4</v>
      </c>
      <c r="AY23" s="32">
        <v>3</v>
      </c>
      <c r="AZ23" s="32">
        <v>4</v>
      </c>
      <c r="BA23" s="32">
        <v>3</v>
      </c>
      <c r="BB23" s="32">
        <v>4</v>
      </c>
      <c r="BC23" s="32">
        <v>4</v>
      </c>
      <c r="BD23" s="15"/>
      <c r="BE23" s="32">
        <v>3</v>
      </c>
      <c r="BF23" s="15"/>
      <c r="BG23" s="32">
        <f t="shared" si="13"/>
        <v>0</v>
      </c>
      <c r="BH23" s="32">
        <f t="shared" si="14"/>
        <v>0</v>
      </c>
      <c r="BI23" s="32">
        <f t="shared" si="15"/>
        <v>3</v>
      </c>
      <c r="BJ23" s="32">
        <f t="shared" si="16"/>
        <v>4</v>
      </c>
      <c r="BK23" s="32">
        <f t="shared" si="0"/>
        <v>1</v>
      </c>
      <c r="BL23" s="32">
        <f t="shared" si="1"/>
        <v>1</v>
      </c>
      <c r="BM23" s="32">
        <f t="shared" si="2"/>
        <v>1</v>
      </c>
      <c r="BN23" s="32">
        <f t="shared" si="3"/>
        <v>1</v>
      </c>
      <c r="BO23" s="32">
        <f t="shared" si="4"/>
        <v>1</v>
      </c>
      <c r="BP23" s="32">
        <f t="shared" si="5"/>
        <v>1</v>
      </c>
      <c r="BQ23" s="32">
        <f t="shared" si="6"/>
        <v>0</v>
      </c>
      <c r="BR23" s="32">
        <f t="shared" si="7"/>
        <v>1</v>
      </c>
      <c r="BS23" s="32">
        <f t="shared" si="8"/>
        <v>0</v>
      </c>
      <c r="BT23" s="15">
        <f>SUM(Raw!AW17:AW23)</f>
        <v>3</v>
      </c>
      <c r="BU23" s="15">
        <f>SUM(Raw!BD17:BD23)</f>
        <v>2</v>
      </c>
      <c r="BV23" s="15">
        <f>SUM(Raw!BJ17:BJ23)</f>
        <v>2</v>
      </c>
      <c r="BW23" s="15">
        <f>SUM(Raw!BO17:BO23)</f>
        <v>1</v>
      </c>
      <c r="BX23" s="15">
        <f>SUM(Raw!BS17:BS23)</f>
        <v>3</v>
      </c>
      <c r="BY23" s="15">
        <f>SUM(Raw!BV17:BV23)</f>
        <v>3</v>
      </c>
      <c r="BZ23" s="15"/>
      <c r="CA23" s="15">
        <f>SUM(Raw!BW17:BW23)</f>
        <v>0</v>
      </c>
      <c r="CB23" s="15"/>
      <c r="CC23" s="33">
        <v>2</v>
      </c>
      <c r="CD23" s="33">
        <v>1</v>
      </c>
      <c r="CE23" s="33">
        <v>2</v>
      </c>
      <c r="CF23" s="33">
        <v>1</v>
      </c>
      <c r="CG23" s="33">
        <v>2</v>
      </c>
      <c r="CH23" s="33">
        <v>1</v>
      </c>
      <c r="CI23" s="33">
        <v>1</v>
      </c>
      <c r="CJ23" s="33">
        <v>2</v>
      </c>
      <c r="CK23" s="33">
        <v>2</v>
      </c>
      <c r="CL23" s="33">
        <v>0</v>
      </c>
      <c r="CM23" s="33">
        <v>2</v>
      </c>
      <c r="CN23" s="33">
        <v>1</v>
      </c>
      <c r="CO23" s="33">
        <v>0</v>
      </c>
      <c r="CP23" s="33">
        <v>2</v>
      </c>
      <c r="CQ23" s="33">
        <v>1</v>
      </c>
    </row>
    <row r="24" spans="1:95">
      <c r="A24" s="28">
        <v>4</v>
      </c>
      <c r="B24" s="15">
        <v>1</v>
      </c>
      <c r="C24" s="15">
        <v>1</v>
      </c>
      <c r="D24" s="29">
        <v>40876</v>
      </c>
      <c r="E24" s="34">
        <v>2</v>
      </c>
      <c r="F24" s="15">
        <v>1990</v>
      </c>
      <c r="G24" s="31">
        <v>1</v>
      </c>
      <c r="H24" s="31">
        <v>1</v>
      </c>
      <c r="I24" s="31">
        <v>0</v>
      </c>
      <c r="J24" s="31">
        <v>1</v>
      </c>
      <c r="K24" s="31">
        <v>0</v>
      </c>
      <c r="L24" s="31">
        <v>1</v>
      </c>
      <c r="M24" s="31">
        <v>3</v>
      </c>
      <c r="N24" s="32">
        <v>0</v>
      </c>
      <c r="O24" s="15">
        <v>4</v>
      </c>
      <c r="P24" s="15">
        <v>1</v>
      </c>
      <c r="Q24" s="15">
        <v>1</v>
      </c>
      <c r="R24" s="15">
        <v>0</v>
      </c>
      <c r="S24" s="15">
        <v>1</v>
      </c>
      <c r="T24" s="15">
        <v>1</v>
      </c>
      <c r="U24" s="15">
        <v>0</v>
      </c>
      <c r="V24" s="15">
        <v>2</v>
      </c>
      <c r="W24" s="15">
        <v>1</v>
      </c>
      <c r="X24" s="15">
        <v>1</v>
      </c>
      <c r="Y24" s="15">
        <v>0</v>
      </c>
      <c r="Z24" s="15">
        <v>0</v>
      </c>
      <c r="AA24" s="15">
        <v>2</v>
      </c>
      <c r="AB24" s="15"/>
      <c r="AC24" s="32">
        <v>3</v>
      </c>
      <c r="AD24" s="32">
        <v>2</v>
      </c>
      <c r="AE24" s="32">
        <v>1</v>
      </c>
      <c r="AF24" s="32">
        <v>3</v>
      </c>
      <c r="AG24" s="32">
        <v>3</v>
      </c>
      <c r="AH24" s="32">
        <v>3</v>
      </c>
      <c r="AI24" s="32">
        <v>4</v>
      </c>
      <c r="AJ24" s="15"/>
      <c r="AK24" s="32">
        <f t="shared" si="9"/>
        <v>1</v>
      </c>
      <c r="AL24" s="32">
        <f t="shared" si="10"/>
        <v>1</v>
      </c>
      <c r="AM24" s="32">
        <f t="shared" si="11"/>
        <v>4</v>
      </c>
      <c r="AN24" s="32">
        <f t="shared" si="12"/>
        <v>1</v>
      </c>
      <c r="AO24" s="32">
        <v>0</v>
      </c>
      <c r="AP24" s="32">
        <v>1</v>
      </c>
      <c r="AQ24" s="32">
        <v>0</v>
      </c>
      <c r="AR24" s="32">
        <v>0</v>
      </c>
      <c r="AS24" s="32">
        <v>1</v>
      </c>
      <c r="AT24" s="32">
        <v>1</v>
      </c>
      <c r="AU24" s="32">
        <v>1</v>
      </c>
      <c r="AV24" s="32">
        <v>1</v>
      </c>
      <c r="AW24" s="32"/>
      <c r="AX24" s="15"/>
      <c r="AY24" s="32">
        <v>3</v>
      </c>
      <c r="AZ24" s="32">
        <v>2</v>
      </c>
      <c r="BA24" s="32">
        <v>2</v>
      </c>
      <c r="BB24" s="32">
        <v>3</v>
      </c>
      <c r="BC24" s="32">
        <v>3</v>
      </c>
      <c r="BD24" s="32">
        <v>2</v>
      </c>
      <c r="BE24" s="32">
        <v>3</v>
      </c>
      <c r="BF24" s="15"/>
      <c r="BG24" s="32">
        <f t="shared" si="13"/>
        <v>0</v>
      </c>
      <c r="BH24" s="32">
        <f t="shared" si="14"/>
        <v>3</v>
      </c>
      <c r="BI24" s="32">
        <f t="shared" si="15"/>
        <v>4</v>
      </c>
      <c r="BJ24" s="32">
        <f t="shared" si="16"/>
        <v>0</v>
      </c>
      <c r="BK24" s="32">
        <f t="shared" si="0"/>
        <v>0</v>
      </c>
      <c r="BL24" s="32">
        <f t="shared" si="1"/>
        <v>1</v>
      </c>
      <c r="BM24" s="32">
        <f t="shared" si="2"/>
        <v>0</v>
      </c>
      <c r="BN24" s="32">
        <f t="shared" si="3"/>
        <v>0</v>
      </c>
      <c r="BO24" s="32">
        <f t="shared" si="4"/>
        <v>1</v>
      </c>
      <c r="BP24" s="32">
        <f t="shared" si="5"/>
        <v>1</v>
      </c>
      <c r="BQ24" s="32">
        <f t="shared" si="6"/>
        <v>0</v>
      </c>
      <c r="BR24" s="32">
        <f t="shared" si="7"/>
        <v>1</v>
      </c>
      <c r="BS24" s="32">
        <f t="shared" si="8"/>
        <v>0</v>
      </c>
      <c r="BT24" s="15"/>
      <c r="BU24" s="15">
        <f>SUM(Raw!AR24:AR31)</f>
        <v>3</v>
      </c>
      <c r="BV24" s="15">
        <f>SUM(Raw!AS24:AS31)</f>
        <v>2</v>
      </c>
      <c r="BW24" s="15">
        <f>SUM(Raw!AT24:AT31)</f>
        <v>2</v>
      </c>
      <c r="BX24" s="15">
        <f>SUM(Raw!AU24:AU31)</f>
        <v>3</v>
      </c>
      <c r="BY24" s="15">
        <f>SUM(Raw!AV24:AV31)</f>
        <v>3</v>
      </c>
      <c r="BZ24" s="15">
        <f>SUM(Raw!AW24:AW31)</f>
        <v>2</v>
      </c>
      <c r="CA24" s="15">
        <f>SUM(Raw!AX24:AX31)</f>
        <v>2</v>
      </c>
      <c r="CB24" s="15"/>
      <c r="CC24" s="33">
        <v>2</v>
      </c>
      <c r="CD24" s="33">
        <v>2</v>
      </c>
      <c r="CE24" s="33">
        <v>2</v>
      </c>
      <c r="CF24" s="33">
        <v>2</v>
      </c>
      <c r="CG24" s="33">
        <v>2</v>
      </c>
      <c r="CH24" s="33">
        <v>1</v>
      </c>
      <c r="CI24" s="33">
        <v>1</v>
      </c>
      <c r="CJ24" s="33">
        <v>2</v>
      </c>
      <c r="CK24" s="33">
        <v>2</v>
      </c>
      <c r="CL24" s="33">
        <v>0</v>
      </c>
      <c r="CM24" s="33">
        <v>2</v>
      </c>
      <c r="CN24" s="33">
        <v>2</v>
      </c>
      <c r="CO24" s="33">
        <v>0</v>
      </c>
      <c r="CP24" s="33">
        <v>2</v>
      </c>
      <c r="CQ24" s="33">
        <v>1</v>
      </c>
    </row>
    <row r="25" spans="1:95">
      <c r="A25" s="28">
        <v>4</v>
      </c>
      <c r="B25" s="15">
        <v>1</v>
      </c>
      <c r="C25" s="15">
        <v>2</v>
      </c>
      <c r="D25" s="29">
        <v>40876</v>
      </c>
      <c r="E25" s="34">
        <v>2</v>
      </c>
      <c r="F25" s="15">
        <v>1987</v>
      </c>
      <c r="G25" s="31">
        <v>5</v>
      </c>
      <c r="H25" s="31">
        <v>1</v>
      </c>
      <c r="I25" s="31">
        <v>1</v>
      </c>
      <c r="J25" s="31">
        <v>2</v>
      </c>
      <c r="K25" s="31">
        <v>2</v>
      </c>
      <c r="L25" s="31">
        <v>2</v>
      </c>
      <c r="M25" s="31">
        <v>3</v>
      </c>
      <c r="N25" s="32">
        <v>0</v>
      </c>
      <c r="O25" s="15"/>
      <c r="P25" s="15">
        <v>0</v>
      </c>
      <c r="Q25" s="15">
        <v>7</v>
      </c>
      <c r="R25" s="15">
        <v>0</v>
      </c>
      <c r="S25" s="15">
        <v>0</v>
      </c>
      <c r="T25" s="15">
        <v>4</v>
      </c>
      <c r="U25" s="15">
        <v>1</v>
      </c>
      <c r="V25" s="15">
        <v>1</v>
      </c>
      <c r="W25" s="15">
        <v>1</v>
      </c>
      <c r="X25" s="15">
        <v>1</v>
      </c>
      <c r="Y25" s="15">
        <v>1</v>
      </c>
      <c r="Z25" s="15">
        <v>0</v>
      </c>
      <c r="AA25" s="15">
        <v>1</v>
      </c>
      <c r="AB25" s="32">
        <v>3</v>
      </c>
      <c r="AC25" s="15"/>
      <c r="AD25" s="32">
        <v>3</v>
      </c>
      <c r="AE25" s="32">
        <v>3</v>
      </c>
      <c r="AF25" s="32">
        <v>3</v>
      </c>
      <c r="AG25" s="32">
        <v>3</v>
      </c>
      <c r="AH25" s="32">
        <v>3</v>
      </c>
      <c r="AI25" s="32">
        <v>3</v>
      </c>
      <c r="AJ25" s="15"/>
      <c r="AK25" s="32">
        <f t="shared" si="9"/>
        <v>0</v>
      </c>
      <c r="AL25" s="32">
        <f t="shared" si="10"/>
        <v>0</v>
      </c>
      <c r="AM25" s="32">
        <f t="shared" si="11"/>
        <v>7</v>
      </c>
      <c r="AN25" s="32">
        <f t="shared" si="12"/>
        <v>0</v>
      </c>
      <c r="AO25" s="32">
        <v>1</v>
      </c>
      <c r="AP25" s="32">
        <v>0</v>
      </c>
      <c r="AQ25" s="32">
        <v>1</v>
      </c>
      <c r="AR25" s="32">
        <v>1</v>
      </c>
      <c r="AS25" s="32">
        <v>1</v>
      </c>
      <c r="AT25" s="32">
        <v>1</v>
      </c>
      <c r="AU25" s="32">
        <v>1</v>
      </c>
      <c r="AV25" s="32">
        <v>1</v>
      </c>
      <c r="AW25" s="32"/>
      <c r="AX25" s="32">
        <v>3</v>
      </c>
      <c r="AY25" s="15"/>
      <c r="AZ25" s="32">
        <v>2</v>
      </c>
      <c r="BA25" s="32">
        <v>3</v>
      </c>
      <c r="BB25" s="32">
        <v>3</v>
      </c>
      <c r="BC25" s="32">
        <v>3</v>
      </c>
      <c r="BD25" s="32">
        <v>3</v>
      </c>
      <c r="BE25" s="32">
        <v>3</v>
      </c>
      <c r="BF25" s="15"/>
      <c r="BG25" s="32">
        <f t="shared" si="13"/>
        <v>0</v>
      </c>
      <c r="BH25" s="32">
        <f t="shared" si="14"/>
        <v>1</v>
      </c>
      <c r="BI25" s="32">
        <f t="shared" si="15"/>
        <v>6</v>
      </c>
      <c r="BJ25" s="32">
        <f t="shared" si="16"/>
        <v>0</v>
      </c>
      <c r="BK25" s="32">
        <f t="shared" si="0"/>
        <v>1</v>
      </c>
      <c r="BL25" s="32">
        <f t="shared" si="1"/>
        <v>0</v>
      </c>
      <c r="BM25" s="32">
        <f t="shared" si="2"/>
        <v>0</v>
      </c>
      <c r="BN25" s="32">
        <f t="shared" si="3"/>
        <v>1</v>
      </c>
      <c r="BO25" s="32">
        <f t="shared" si="4"/>
        <v>1</v>
      </c>
      <c r="BP25" s="32">
        <f t="shared" si="5"/>
        <v>1</v>
      </c>
      <c r="BQ25" s="32">
        <f t="shared" si="6"/>
        <v>1</v>
      </c>
      <c r="BR25" s="32">
        <f t="shared" si="7"/>
        <v>1</v>
      </c>
      <c r="BS25" s="32">
        <f t="shared" si="8"/>
        <v>0</v>
      </c>
      <c r="BT25" s="15">
        <f>SUM(Raw!AR24:AR31)</f>
        <v>3</v>
      </c>
      <c r="BU25" s="15"/>
      <c r="BV25" s="15">
        <f>SUM(Raw!AZ24:AZ31)</f>
        <v>3</v>
      </c>
      <c r="BW25" s="15">
        <f>SUM(Raw!BA24:BA31)</f>
        <v>2</v>
      </c>
      <c r="BX25" s="15">
        <f>SUM(Raw!BB24:BB31)</f>
        <v>2</v>
      </c>
      <c r="BY25" s="15">
        <f>SUM(Raw!BC24:BC31)</f>
        <v>2</v>
      </c>
      <c r="BZ25" s="15">
        <f>SUM(Raw!BD24:BD31)</f>
        <v>0</v>
      </c>
      <c r="CA25" s="15">
        <f>SUM(Raw!BE24:BE31)</f>
        <v>3</v>
      </c>
      <c r="CB25" s="15"/>
      <c r="CC25" s="33">
        <v>2</v>
      </c>
      <c r="CD25" s="33">
        <v>2</v>
      </c>
      <c r="CE25" s="33">
        <v>2</v>
      </c>
      <c r="CF25" s="33">
        <v>2</v>
      </c>
      <c r="CG25" s="33">
        <v>2</v>
      </c>
      <c r="CH25" s="33">
        <v>2</v>
      </c>
      <c r="CI25" s="33">
        <v>0</v>
      </c>
      <c r="CJ25" s="33">
        <v>2</v>
      </c>
      <c r="CK25" s="33">
        <v>2</v>
      </c>
      <c r="CL25" s="33">
        <v>0</v>
      </c>
      <c r="CM25" s="33">
        <v>2</v>
      </c>
      <c r="CN25" s="33">
        <v>2</v>
      </c>
      <c r="CO25" s="33">
        <v>0</v>
      </c>
      <c r="CP25" s="33">
        <v>2</v>
      </c>
      <c r="CQ25" s="33">
        <v>2</v>
      </c>
    </row>
    <row r="26" spans="1:95">
      <c r="A26" s="28">
        <v>4</v>
      </c>
      <c r="B26" s="15">
        <v>1</v>
      </c>
      <c r="C26" s="15">
        <v>3</v>
      </c>
      <c r="D26" s="29">
        <v>40883</v>
      </c>
      <c r="E26" s="34">
        <v>2</v>
      </c>
      <c r="F26" s="15">
        <v>1987</v>
      </c>
      <c r="G26" s="31">
        <v>4</v>
      </c>
      <c r="H26" s="31">
        <v>1</v>
      </c>
      <c r="I26" s="31">
        <v>0</v>
      </c>
      <c r="J26" s="31">
        <v>0</v>
      </c>
      <c r="K26" s="31">
        <v>2</v>
      </c>
      <c r="L26" s="31">
        <v>2</v>
      </c>
      <c r="M26" s="31">
        <v>3</v>
      </c>
      <c r="N26" s="32">
        <v>0</v>
      </c>
      <c r="O26" s="15">
        <v>2</v>
      </c>
      <c r="P26" s="15">
        <v>1</v>
      </c>
      <c r="Q26" s="15">
        <v>3</v>
      </c>
      <c r="R26" s="15">
        <v>0</v>
      </c>
      <c r="S26" s="15">
        <v>1</v>
      </c>
      <c r="T26" s="15">
        <v>1</v>
      </c>
      <c r="U26" s="15">
        <v>2</v>
      </c>
      <c r="V26" s="15">
        <v>0</v>
      </c>
      <c r="W26" s="15">
        <v>2</v>
      </c>
      <c r="X26" s="15">
        <v>1</v>
      </c>
      <c r="Y26" s="15">
        <v>0</v>
      </c>
      <c r="Z26" s="15">
        <v>0</v>
      </c>
      <c r="AA26" s="15">
        <v>2</v>
      </c>
      <c r="AB26" s="32">
        <v>2</v>
      </c>
      <c r="AC26" s="32">
        <v>3</v>
      </c>
      <c r="AD26" s="15"/>
      <c r="AE26" s="32">
        <v>3</v>
      </c>
      <c r="AF26" s="32">
        <v>3</v>
      </c>
      <c r="AG26" s="32">
        <v>3</v>
      </c>
      <c r="AH26" s="32">
        <v>3</v>
      </c>
      <c r="AI26" s="32">
        <v>3</v>
      </c>
      <c r="AJ26" s="15"/>
      <c r="AK26" s="32">
        <f t="shared" si="9"/>
        <v>0</v>
      </c>
      <c r="AL26" s="32">
        <f t="shared" si="10"/>
        <v>1</v>
      </c>
      <c r="AM26" s="32">
        <f t="shared" si="11"/>
        <v>6</v>
      </c>
      <c r="AN26" s="32">
        <f t="shared" si="12"/>
        <v>0</v>
      </c>
      <c r="AO26" s="32">
        <v>0</v>
      </c>
      <c r="AP26" s="32">
        <v>1</v>
      </c>
      <c r="AQ26" s="32">
        <v>0</v>
      </c>
      <c r="AR26" s="32">
        <v>1</v>
      </c>
      <c r="AS26" s="32">
        <v>1</v>
      </c>
      <c r="AT26" s="32">
        <v>0</v>
      </c>
      <c r="AU26" s="32">
        <v>1</v>
      </c>
      <c r="AV26" s="32">
        <v>1</v>
      </c>
      <c r="AW26" s="32"/>
      <c r="AX26" s="32">
        <v>3</v>
      </c>
      <c r="AY26" s="32">
        <v>3</v>
      </c>
      <c r="AZ26" s="15"/>
      <c r="BA26" s="32">
        <v>3</v>
      </c>
      <c r="BB26" s="32">
        <v>3</v>
      </c>
      <c r="BC26" s="32">
        <v>3</v>
      </c>
      <c r="BD26" s="32">
        <v>3</v>
      </c>
      <c r="BE26" s="32">
        <v>3</v>
      </c>
      <c r="BF26" s="15"/>
      <c r="BG26" s="32">
        <f t="shared" si="13"/>
        <v>0</v>
      </c>
      <c r="BH26" s="32">
        <f t="shared" si="14"/>
        <v>0</v>
      </c>
      <c r="BI26" s="32">
        <f t="shared" si="15"/>
        <v>7</v>
      </c>
      <c r="BJ26" s="32">
        <f t="shared" si="16"/>
        <v>0</v>
      </c>
      <c r="BK26" s="32">
        <f t="shared" si="0"/>
        <v>0</v>
      </c>
      <c r="BL26" s="32">
        <f t="shared" si="1"/>
        <v>1</v>
      </c>
      <c r="BM26" s="32">
        <f t="shared" si="2"/>
        <v>0</v>
      </c>
      <c r="BN26" s="32">
        <f t="shared" si="3"/>
        <v>1</v>
      </c>
      <c r="BO26" s="32">
        <f t="shared" si="4"/>
        <v>1</v>
      </c>
      <c r="BP26" s="32">
        <f t="shared" si="5"/>
        <v>1</v>
      </c>
      <c r="BQ26" s="32">
        <f t="shared" si="6"/>
        <v>1</v>
      </c>
      <c r="BR26" s="32">
        <f t="shared" si="7"/>
        <v>1</v>
      </c>
      <c r="BS26" s="32">
        <f t="shared" si="8"/>
        <v>0</v>
      </c>
      <c r="BT26" s="15">
        <f>SUM(Raw!AS24:AS31)</f>
        <v>2</v>
      </c>
      <c r="BU26" s="15">
        <f>SUM(Raw!AZ24:AZ31)</f>
        <v>3</v>
      </c>
      <c r="BV26" s="15"/>
      <c r="BW26" s="15">
        <f>SUM(Raw!BG24:BG31)</f>
        <v>2</v>
      </c>
      <c r="BX26" s="15">
        <f>SUM(Raw!BH24:BH31)</f>
        <v>2</v>
      </c>
      <c r="BY26" s="15">
        <f>SUM(Raw!BI24:BI31)</f>
        <v>3</v>
      </c>
      <c r="BZ26" s="15">
        <f>SUM(Raw!BJ24:BJ31)</f>
        <v>0</v>
      </c>
      <c r="CA26" s="15">
        <f>SUM(Raw!BK24:BK31)</f>
        <v>5</v>
      </c>
      <c r="CB26" s="15"/>
      <c r="CC26" s="33">
        <v>1</v>
      </c>
      <c r="CD26" s="33">
        <v>2</v>
      </c>
      <c r="CE26" s="33">
        <v>1</v>
      </c>
      <c r="CF26" s="33">
        <v>2</v>
      </c>
      <c r="CG26" s="33">
        <v>1</v>
      </c>
      <c r="CH26" s="33">
        <v>2</v>
      </c>
      <c r="CI26" s="33">
        <v>0</v>
      </c>
      <c r="CJ26" s="33">
        <v>1</v>
      </c>
      <c r="CK26" s="33">
        <v>2</v>
      </c>
      <c r="CL26" s="33">
        <v>0</v>
      </c>
      <c r="CM26" s="33">
        <v>1</v>
      </c>
      <c r="CN26" s="33">
        <v>2</v>
      </c>
      <c r="CO26" s="33">
        <v>0</v>
      </c>
      <c r="CP26" s="33">
        <v>1</v>
      </c>
      <c r="CQ26" s="33">
        <v>2</v>
      </c>
    </row>
    <row r="27" spans="1:95">
      <c r="A27" s="28">
        <v>4</v>
      </c>
      <c r="B27" s="15">
        <v>1</v>
      </c>
      <c r="C27" s="15">
        <v>4</v>
      </c>
      <c r="D27" s="29">
        <v>40876</v>
      </c>
      <c r="E27" s="34">
        <v>2</v>
      </c>
      <c r="F27" s="15">
        <v>1991</v>
      </c>
      <c r="G27" s="31">
        <v>4</v>
      </c>
      <c r="H27" s="31">
        <v>1</v>
      </c>
      <c r="I27" s="31">
        <v>0</v>
      </c>
      <c r="J27" s="31">
        <v>1</v>
      </c>
      <c r="K27" s="31">
        <v>2</v>
      </c>
      <c r="L27" s="31">
        <v>1</v>
      </c>
      <c r="M27" s="31">
        <v>3</v>
      </c>
      <c r="N27" s="32">
        <v>2</v>
      </c>
      <c r="O27" s="15">
        <v>3</v>
      </c>
      <c r="P27" s="15">
        <v>0</v>
      </c>
      <c r="Q27" s="15">
        <v>1</v>
      </c>
      <c r="R27" s="15">
        <v>1</v>
      </c>
      <c r="S27" s="15">
        <v>0</v>
      </c>
      <c r="T27" s="15">
        <v>3</v>
      </c>
      <c r="U27" s="15">
        <v>1</v>
      </c>
      <c r="V27" s="15">
        <v>2</v>
      </c>
      <c r="W27" s="15">
        <v>2</v>
      </c>
      <c r="X27" s="15">
        <v>0</v>
      </c>
      <c r="Y27" s="15">
        <v>0</v>
      </c>
      <c r="Z27" s="15">
        <v>6</v>
      </c>
      <c r="AA27" s="15">
        <v>2</v>
      </c>
      <c r="AB27" s="32">
        <v>4</v>
      </c>
      <c r="AC27" s="32">
        <v>4</v>
      </c>
      <c r="AD27" s="32">
        <v>4</v>
      </c>
      <c r="AE27" s="15"/>
      <c r="AF27" s="32">
        <v>4</v>
      </c>
      <c r="AG27" s="32">
        <v>4</v>
      </c>
      <c r="AH27" s="32">
        <v>4</v>
      </c>
      <c r="AI27" s="32">
        <v>4</v>
      </c>
      <c r="AJ27" s="15"/>
      <c r="AK27" s="32">
        <f t="shared" si="9"/>
        <v>0</v>
      </c>
      <c r="AL27" s="32">
        <f t="shared" si="10"/>
        <v>0</v>
      </c>
      <c r="AM27" s="32">
        <f t="shared" si="11"/>
        <v>0</v>
      </c>
      <c r="AN27" s="32">
        <f t="shared" si="12"/>
        <v>7</v>
      </c>
      <c r="AO27" s="32">
        <v>0</v>
      </c>
      <c r="AP27" s="32">
        <v>1</v>
      </c>
      <c r="AQ27" s="32">
        <v>1</v>
      </c>
      <c r="AR27" s="32">
        <v>0</v>
      </c>
      <c r="AS27" s="32">
        <v>1</v>
      </c>
      <c r="AT27" s="32">
        <v>1</v>
      </c>
      <c r="AU27" s="32">
        <v>1</v>
      </c>
      <c r="AV27" s="32">
        <v>1</v>
      </c>
      <c r="AW27" s="32"/>
      <c r="AX27" s="32">
        <v>2</v>
      </c>
      <c r="AY27" s="32">
        <v>2</v>
      </c>
      <c r="AZ27" s="32">
        <v>2</v>
      </c>
      <c r="BA27" s="15"/>
      <c r="BB27" s="32">
        <v>3</v>
      </c>
      <c r="BC27" s="32">
        <v>3</v>
      </c>
      <c r="BD27" s="32">
        <v>3</v>
      </c>
      <c r="BE27" s="32">
        <v>3</v>
      </c>
      <c r="BF27" s="15"/>
      <c r="BG27" s="32">
        <f t="shared" si="13"/>
        <v>0</v>
      </c>
      <c r="BH27" s="32">
        <f t="shared" si="14"/>
        <v>3</v>
      </c>
      <c r="BI27" s="32">
        <f t="shared" si="15"/>
        <v>4</v>
      </c>
      <c r="BJ27" s="32">
        <f t="shared" si="16"/>
        <v>0</v>
      </c>
      <c r="BK27" s="32">
        <f t="shared" si="0"/>
        <v>0</v>
      </c>
      <c r="BL27" s="32">
        <f t="shared" si="1"/>
        <v>0</v>
      </c>
      <c r="BM27" s="32">
        <f t="shared" si="2"/>
        <v>0</v>
      </c>
      <c r="BN27" s="32">
        <f t="shared" si="3"/>
        <v>0</v>
      </c>
      <c r="BO27" s="32">
        <f t="shared" si="4"/>
        <v>1</v>
      </c>
      <c r="BP27" s="32">
        <f t="shared" si="5"/>
        <v>1</v>
      </c>
      <c r="BQ27" s="32">
        <f t="shared" si="6"/>
        <v>1</v>
      </c>
      <c r="BR27" s="32">
        <f t="shared" si="7"/>
        <v>1</v>
      </c>
      <c r="BS27" s="32">
        <f t="shared" si="8"/>
        <v>0</v>
      </c>
      <c r="BT27" s="15">
        <f>SUM(Raw!AT24:AT31)</f>
        <v>2</v>
      </c>
      <c r="BU27" s="15">
        <f>SUM(Raw!BA24:BA31)</f>
        <v>2</v>
      </c>
      <c r="BV27" s="15">
        <f>SUM(Raw!BG24:BG31)</f>
        <v>2</v>
      </c>
      <c r="BW27" s="15"/>
      <c r="BX27" s="15">
        <f>SUM(Raw!BM24:BM31)</f>
        <v>2</v>
      </c>
      <c r="BY27" s="15">
        <f>SUM(Raw!BN24:BN31)</f>
        <v>4</v>
      </c>
      <c r="BZ27" s="15">
        <f>SUM(Raw!BO24:BO31)</f>
        <v>3</v>
      </c>
      <c r="CA27" s="15">
        <f>SUM(Raw!BP24:BP31)</f>
        <v>4</v>
      </c>
      <c r="CB27" s="15"/>
      <c r="CC27" s="33">
        <v>2</v>
      </c>
      <c r="CD27" s="33">
        <v>2</v>
      </c>
      <c r="CE27" s="33">
        <v>2</v>
      </c>
      <c r="CF27" s="33">
        <v>2</v>
      </c>
      <c r="CG27" s="33">
        <v>2</v>
      </c>
      <c r="CH27" s="33">
        <v>2</v>
      </c>
      <c r="CI27" s="33">
        <v>1</v>
      </c>
      <c r="CJ27" s="33">
        <v>2</v>
      </c>
      <c r="CK27" s="33">
        <v>2</v>
      </c>
      <c r="CL27" s="33">
        <v>1</v>
      </c>
      <c r="CM27" s="33">
        <v>2</v>
      </c>
      <c r="CN27" s="33">
        <v>2</v>
      </c>
      <c r="CO27" s="33">
        <v>1</v>
      </c>
      <c r="CP27" s="33">
        <v>2</v>
      </c>
      <c r="CQ27" s="33">
        <v>2</v>
      </c>
    </row>
    <row r="28" spans="1:95">
      <c r="A28" s="28">
        <v>4</v>
      </c>
      <c r="B28" s="15">
        <v>1</v>
      </c>
      <c r="C28" s="15">
        <v>5</v>
      </c>
      <c r="D28" s="29">
        <v>40876</v>
      </c>
      <c r="E28" s="34">
        <v>2</v>
      </c>
      <c r="F28" s="15">
        <v>1993</v>
      </c>
      <c r="G28" s="31">
        <v>4</v>
      </c>
      <c r="H28" s="15">
        <v>2</v>
      </c>
      <c r="I28" s="31">
        <v>0</v>
      </c>
      <c r="J28" s="31">
        <v>1</v>
      </c>
      <c r="K28" s="31">
        <v>0</v>
      </c>
      <c r="L28" s="31">
        <v>2</v>
      </c>
      <c r="M28" s="31">
        <v>3</v>
      </c>
      <c r="N28" s="32">
        <v>0</v>
      </c>
      <c r="O28" s="15">
        <v>5</v>
      </c>
      <c r="P28" s="15">
        <v>1</v>
      </c>
      <c r="Q28" s="15">
        <v>1</v>
      </c>
      <c r="R28" s="15">
        <v>3</v>
      </c>
      <c r="S28" s="15">
        <v>1</v>
      </c>
      <c r="T28" s="15">
        <v>1</v>
      </c>
      <c r="U28" s="15">
        <v>1</v>
      </c>
      <c r="V28" s="15">
        <v>2</v>
      </c>
      <c r="W28" s="15">
        <v>2</v>
      </c>
      <c r="X28" s="15">
        <v>1</v>
      </c>
      <c r="Y28" s="15">
        <v>1</v>
      </c>
      <c r="Z28" s="15">
        <v>6</v>
      </c>
      <c r="AA28" s="15">
        <v>2</v>
      </c>
      <c r="AB28" s="32">
        <v>3</v>
      </c>
      <c r="AC28" s="32">
        <v>3</v>
      </c>
      <c r="AD28" s="32">
        <v>3</v>
      </c>
      <c r="AE28" s="32">
        <v>3</v>
      </c>
      <c r="AF28" s="15"/>
      <c r="AG28" s="32">
        <v>3</v>
      </c>
      <c r="AH28" s="32">
        <v>3</v>
      </c>
      <c r="AI28" s="32">
        <v>3</v>
      </c>
      <c r="AJ28" s="15"/>
      <c r="AK28" s="32">
        <f t="shared" si="9"/>
        <v>0</v>
      </c>
      <c r="AL28" s="32">
        <f t="shared" si="10"/>
        <v>0</v>
      </c>
      <c r="AM28" s="32">
        <f t="shared" si="11"/>
        <v>7</v>
      </c>
      <c r="AN28" s="32">
        <f t="shared" si="12"/>
        <v>0</v>
      </c>
      <c r="AO28" s="32">
        <v>1</v>
      </c>
      <c r="AP28" s="32">
        <v>1</v>
      </c>
      <c r="AQ28" s="32">
        <v>1</v>
      </c>
      <c r="AR28" s="32">
        <v>1</v>
      </c>
      <c r="AS28" s="32">
        <v>0</v>
      </c>
      <c r="AT28" s="32">
        <v>0</v>
      </c>
      <c r="AU28" s="32">
        <v>1</v>
      </c>
      <c r="AV28" s="32">
        <v>0</v>
      </c>
      <c r="AW28" s="32"/>
      <c r="AX28" s="32">
        <v>3</v>
      </c>
      <c r="AY28" s="32">
        <v>3</v>
      </c>
      <c r="AZ28" s="32">
        <v>3</v>
      </c>
      <c r="BA28" s="32">
        <v>3</v>
      </c>
      <c r="BB28" s="15"/>
      <c r="BC28" s="32">
        <v>3</v>
      </c>
      <c r="BD28" s="32">
        <v>3</v>
      </c>
      <c r="BE28" s="32">
        <v>3</v>
      </c>
      <c r="BF28" s="15"/>
      <c r="BG28" s="32">
        <f t="shared" si="13"/>
        <v>0</v>
      </c>
      <c r="BH28" s="32">
        <f t="shared" si="14"/>
        <v>0</v>
      </c>
      <c r="BI28" s="32">
        <f t="shared" si="15"/>
        <v>7</v>
      </c>
      <c r="BJ28" s="32">
        <f t="shared" si="16"/>
        <v>0</v>
      </c>
      <c r="BK28" s="32">
        <f t="shared" si="0"/>
        <v>1</v>
      </c>
      <c r="BL28" s="32">
        <f t="shared" si="1"/>
        <v>1</v>
      </c>
      <c r="BM28" s="32">
        <f t="shared" si="2"/>
        <v>1</v>
      </c>
      <c r="BN28" s="32">
        <f t="shared" si="3"/>
        <v>1</v>
      </c>
      <c r="BO28" s="32">
        <f t="shared" si="4"/>
        <v>0</v>
      </c>
      <c r="BP28" s="32">
        <f t="shared" si="5"/>
        <v>1</v>
      </c>
      <c r="BQ28" s="32">
        <f t="shared" si="6"/>
        <v>1</v>
      </c>
      <c r="BR28" s="32">
        <f t="shared" si="7"/>
        <v>1</v>
      </c>
      <c r="BS28" s="32">
        <f t="shared" si="8"/>
        <v>0</v>
      </c>
      <c r="BT28" s="15">
        <f>SUM(Raw!AU24:AU31)</f>
        <v>3</v>
      </c>
      <c r="BU28" s="15">
        <f>SUM(Raw!BB24:BB31)</f>
        <v>2</v>
      </c>
      <c r="BV28" s="15">
        <f>SUM(Raw!BH24:BH31)</f>
        <v>2</v>
      </c>
      <c r="BW28" s="15">
        <f>SUM(Raw!BM24:BM31)</f>
        <v>2</v>
      </c>
      <c r="BX28" s="15"/>
      <c r="BY28" s="15">
        <f>SUM(Raw!BR24:BR31)</f>
        <v>3</v>
      </c>
      <c r="BZ28" s="15">
        <f>SUM(Raw!BS24:BS31)</f>
        <v>3</v>
      </c>
      <c r="CA28" s="15">
        <f>SUM(Raw!BT24:BT31)</f>
        <v>3</v>
      </c>
      <c r="CB28" s="15"/>
      <c r="CC28" s="33">
        <v>1</v>
      </c>
      <c r="CD28" s="33">
        <v>2</v>
      </c>
      <c r="CE28" s="33">
        <v>1</v>
      </c>
      <c r="CF28" s="33">
        <v>2</v>
      </c>
      <c r="CG28" s="33">
        <v>1</v>
      </c>
      <c r="CH28" s="33">
        <v>2</v>
      </c>
      <c r="CI28" s="33">
        <v>0</v>
      </c>
      <c r="CJ28" s="33">
        <v>1</v>
      </c>
      <c r="CK28" s="33">
        <v>1</v>
      </c>
      <c r="CL28" s="33">
        <v>0</v>
      </c>
      <c r="CM28" s="33">
        <v>1</v>
      </c>
      <c r="CN28" s="33">
        <v>1</v>
      </c>
      <c r="CO28" s="33">
        <v>0</v>
      </c>
      <c r="CP28" s="33">
        <v>1</v>
      </c>
      <c r="CQ28" s="33">
        <v>2</v>
      </c>
    </row>
    <row r="29" spans="1:95">
      <c r="A29" s="28">
        <v>4</v>
      </c>
      <c r="B29" s="15">
        <v>1</v>
      </c>
      <c r="C29" s="15">
        <v>6</v>
      </c>
      <c r="D29" s="29">
        <v>40876</v>
      </c>
      <c r="E29" s="34">
        <v>2</v>
      </c>
      <c r="F29" s="15">
        <v>1991</v>
      </c>
      <c r="G29" s="31">
        <v>2</v>
      </c>
      <c r="H29" s="31">
        <v>1</v>
      </c>
      <c r="I29" s="31">
        <v>0</v>
      </c>
      <c r="J29" s="31">
        <v>1</v>
      </c>
      <c r="K29" s="31">
        <v>2</v>
      </c>
      <c r="L29" s="31">
        <v>2</v>
      </c>
      <c r="M29" s="32">
        <v>5</v>
      </c>
      <c r="N29" s="32">
        <v>1</v>
      </c>
      <c r="O29" s="15">
        <v>2</v>
      </c>
      <c r="P29" s="15">
        <v>1</v>
      </c>
      <c r="Q29" s="15">
        <v>5</v>
      </c>
      <c r="R29" s="15">
        <v>1</v>
      </c>
      <c r="S29" s="15">
        <v>1</v>
      </c>
      <c r="T29" s="15">
        <v>1</v>
      </c>
      <c r="U29" s="15">
        <v>2</v>
      </c>
      <c r="V29" s="15">
        <v>2</v>
      </c>
      <c r="W29" s="15">
        <v>2</v>
      </c>
      <c r="X29" s="15">
        <v>1</v>
      </c>
      <c r="Y29" s="15">
        <v>1</v>
      </c>
      <c r="Z29" s="15">
        <v>0</v>
      </c>
      <c r="AA29" s="15">
        <v>0</v>
      </c>
      <c r="AB29" s="32">
        <v>3</v>
      </c>
      <c r="AC29" s="32">
        <v>3</v>
      </c>
      <c r="AD29" s="32">
        <v>1</v>
      </c>
      <c r="AE29" s="32">
        <v>3</v>
      </c>
      <c r="AF29" s="32">
        <v>1</v>
      </c>
      <c r="AG29" s="15"/>
      <c r="AH29" s="32">
        <v>3</v>
      </c>
      <c r="AI29" s="32">
        <v>3</v>
      </c>
      <c r="AJ29" s="15"/>
      <c r="AK29" s="32">
        <f t="shared" si="9"/>
        <v>2</v>
      </c>
      <c r="AL29" s="32">
        <f t="shared" si="10"/>
        <v>0</v>
      </c>
      <c r="AM29" s="32">
        <f t="shared" si="11"/>
        <v>5</v>
      </c>
      <c r="AN29" s="32">
        <f t="shared" si="12"/>
        <v>0</v>
      </c>
      <c r="AO29" s="32">
        <v>1</v>
      </c>
      <c r="AP29" s="32">
        <v>1</v>
      </c>
      <c r="AQ29" s="32">
        <v>0</v>
      </c>
      <c r="AR29" s="32">
        <v>1</v>
      </c>
      <c r="AS29" s="32">
        <v>0</v>
      </c>
      <c r="AT29" s="32">
        <v>0</v>
      </c>
      <c r="AU29" s="32">
        <v>1</v>
      </c>
      <c r="AV29" s="32">
        <v>1</v>
      </c>
      <c r="AW29" s="32"/>
      <c r="AX29" s="32">
        <v>3</v>
      </c>
      <c r="AY29" s="32">
        <v>3</v>
      </c>
      <c r="AZ29" s="32">
        <v>3</v>
      </c>
      <c r="BA29" s="32">
        <v>3</v>
      </c>
      <c r="BB29" s="32">
        <v>3</v>
      </c>
      <c r="BC29" s="15"/>
      <c r="BD29" s="32">
        <v>3</v>
      </c>
      <c r="BE29" s="32">
        <v>3</v>
      </c>
      <c r="BF29" s="15"/>
      <c r="BG29" s="32">
        <f t="shared" si="13"/>
        <v>0</v>
      </c>
      <c r="BH29" s="32">
        <f t="shared" si="14"/>
        <v>0</v>
      </c>
      <c r="BI29" s="32">
        <f t="shared" si="15"/>
        <v>7</v>
      </c>
      <c r="BJ29" s="32">
        <f t="shared" si="16"/>
        <v>0</v>
      </c>
      <c r="BK29" s="32">
        <f t="shared" si="0"/>
        <v>1</v>
      </c>
      <c r="BL29" s="32">
        <f t="shared" si="1"/>
        <v>1</v>
      </c>
      <c r="BM29" s="32">
        <f t="shared" si="2"/>
        <v>0</v>
      </c>
      <c r="BN29" s="32">
        <f t="shared" si="3"/>
        <v>1</v>
      </c>
      <c r="BO29" s="32">
        <f t="shared" si="4"/>
        <v>0</v>
      </c>
      <c r="BP29" s="32">
        <f t="shared" si="5"/>
        <v>0</v>
      </c>
      <c r="BQ29" s="32">
        <f t="shared" si="6"/>
        <v>1</v>
      </c>
      <c r="BR29" s="32">
        <f t="shared" si="7"/>
        <v>1</v>
      </c>
      <c r="BS29" s="32">
        <f t="shared" si="8"/>
        <v>0</v>
      </c>
      <c r="BT29" s="15">
        <f>SUM(Raw!AV24:AV31)</f>
        <v>3</v>
      </c>
      <c r="BU29" s="15">
        <f>SUM(Raw!BC24:BC31)</f>
        <v>2</v>
      </c>
      <c r="BV29" s="15">
        <f>SUM(Raw!BI24:BI31)</f>
        <v>3</v>
      </c>
      <c r="BW29" s="15">
        <f>SUM(Raw!BN24:BN31)</f>
        <v>4</v>
      </c>
      <c r="BX29" s="15">
        <f>SUM(Raw!BR24:BR31)</f>
        <v>3</v>
      </c>
      <c r="BY29" s="15"/>
      <c r="BZ29" s="15">
        <f>SUM(Raw!BV24:BV31)</f>
        <v>4</v>
      </c>
      <c r="CA29" s="15">
        <f>SUM(Raw!BW24:BW31)</f>
        <v>5</v>
      </c>
      <c r="CB29" s="15"/>
      <c r="CC29" s="33">
        <v>2</v>
      </c>
      <c r="CD29" s="33">
        <v>1</v>
      </c>
      <c r="CE29" s="33">
        <v>2</v>
      </c>
      <c r="CF29" s="33">
        <v>1</v>
      </c>
      <c r="CG29" s="33">
        <v>2</v>
      </c>
      <c r="CH29" s="33">
        <v>1</v>
      </c>
      <c r="CI29" s="33">
        <v>0</v>
      </c>
      <c r="CJ29" s="33">
        <v>2</v>
      </c>
      <c r="CK29" s="33">
        <v>1</v>
      </c>
      <c r="CL29" s="33">
        <v>0</v>
      </c>
      <c r="CM29" s="33">
        <v>2</v>
      </c>
      <c r="CN29" s="33">
        <v>1</v>
      </c>
      <c r="CO29" s="33">
        <v>0</v>
      </c>
      <c r="CP29" s="33">
        <v>2</v>
      </c>
      <c r="CQ29" s="33">
        <v>1</v>
      </c>
    </row>
    <row r="30" spans="1:95">
      <c r="A30" s="28">
        <v>4</v>
      </c>
      <c r="B30" s="15">
        <v>1</v>
      </c>
      <c r="C30" s="15">
        <v>7</v>
      </c>
      <c r="D30" s="29">
        <v>40876</v>
      </c>
      <c r="E30" s="34">
        <v>2</v>
      </c>
      <c r="F30" s="15">
        <v>1993</v>
      </c>
      <c r="G30" s="31">
        <v>1</v>
      </c>
      <c r="H30" s="31">
        <v>1</v>
      </c>
      <c r="I30" s="31">
        <v>0</v>
      </c>
      <c r="J30" s="31">
        <v>1</v>
      </c>
      <c r="K30" s="31">
        <v>2</v>
      </c>
      <c r="L30" s="31">
        <v>2</v>
      </c>
      <c r="M30" s="31">
        <v>3</v>
      </c>
      <c r="N30" s="32">
        <v>2</v>
      </c>
      <c r="O30" s="15">
        <v>3</v>
      </c>
      <c r="P30" s="15">
        <v>0</v>
      </c>
      <c r="Q30" s="15">
        <v>2</v>
      </c>
      <c r="R30" s="15">
        <v>2</v>
      </c>
      <c r="S30" s="15">
        <v>0</v>
      </c>
      <c r="T30" s="15">
        <v>1</v>
      </c>
      <c r="U30" s="15">
        <v>2</v>
      </c>
      <c r="V30" s="15">
        <v>2</v>
      </c>
      <c r="W30" s="15">
        <v>1</v>
      </c>
      <c r="X30" s="15">
        <v>1</v>
      </c>
      <c r="Y30" s="15">
        <v>2</v>
      </c>
      <c r="Z30" s="15">
        <v>7</v>
      </c>
      <c r="AA30" s="15">
        <v>0</v>
      </c>
      <c r="AB30" s="32">
        <v>3</v>
      </c>
      <c r="AC30" s="32">
        <v>3</v>
      </c>
      <c r="AD30" s="32">
        <v>3</v>
      </c>
      <c r="AE30" s="32">
        <v>3</v>
      </c>
      <c r="AF30" s="32">
        <v>3</v>
      </c>
      <c r="AG30" s="32">
        <v>3</v>
      </c>
      <c r="AH30" s="15"/>
      <c r="AI30" s="32">
        <v>3</v>
      </c>
      <c r="AJ30" s="15"/>
      <c r="AK30" s="32">
        <f t="shared" si="9"/>
        <v>0</v>
      </c>
      <c r="AL30" s="32">
        <f t="shared" si="10"/>
        <v>0</v>
      </c>
      <c r="AM30" s="32">
        <f t="shared" si="11"/>
        <v>7</v>
      </c>
      <c r="AN30" s="32">
        <f t="shared" si="12"/>
        <v>0</v>
      </c>
      <c r="AO30" s="32">
        <v>1</v>
      </c>
      <c r="AP30" s="32">
        <v>1</v>
      </c>
      <c r="AQ30" s="32">
        <v>1</v>
      </c>
      <c r="AR30" s="32">
        <v>1</v>
      </c>
      <c r="AS30" s="32">
        <v>1</v>
      </c>
      <c r="AT30" s="32">
        <v>1</v>
      </c>
      <c r="AU30" s="32">
        <v>0</v>
      </c>
      <c r="AV30" s="32">
        <v>1</v>
      </c>
      <c r="AW30" s="32"/>
      <c r="AX30" s="32">
        <v>3</v>
      </c>
      <c r="AY30" s="32">
        <v>3</v>
      </c>
      <c r="AZ30" s="32">
        <v>3</v>
      </c>
      <c r="BA30" s="32">
        <v>3</v>
      </c>
      <c r="BB30" s="32">
        <v>3</v>
      </c>
      <c r="BC30" s="32">
        <v>3</v>
      </c>
      <c r="BD30" s="15"/>
      <c r="BE30" s="32">
        <v>3</v>
      </c>
      <c r="BF30" s="15"/>
      <c r="BG30" s="32">
        <f t="shared" si="13"/>
        <v>0</v>
      </c>
      <c r="BH30" s="32">
        <f t="shared" si="14"/>
        <v>0</v>
      </c>
      <c r="BI30" s="32">
        <f t="shared" si="15"/>
        <v>7</v>
      </c>
      <c r="BJ30" s="32">
        <f t="shared" si="16"/>
        <v>0</v>
      </c>
      <c r="BK30" s="32">
        <f t="shared" si="0"/>
        <v>1</v>
      </c>
      <c r="BL30" s="32">
        <f t="shared" si="1"/>
        <v>1</v>
      </c>
      <c r="BM30" s="32">
        <f t="shared" si="2"/>
        <v>1</v>
      </c>
      <c r="BN30" s="32">
        <f t="shared" si="3"/>
        <v>1</v>
      </c>
      <c r="BO30" s="32">
        <f t="shared" si="4"/>
        <v>1</v>
      </c>
      <c r="BP30" s="32">
        <f t="shared" si="5"/>
        <v>1</v>
      </c>
      <c r="BQ30" s="32">
        <f t="shared" si="6"/>
        <v>0</v>
      </c>
      <c r="BR30" s="32">
        <f t="shared" si="7"/>
        <v>1</v>
      </c>
      <c r="BS30" s="32">
        <f t="shared" si="8"/>
        <v>0</v>
      </c>
      <c r="BT30" s="15">
        <f>SUM(Raw!AW24:AW31)</f>
        <v>2</v>
      </c>
      <c r="BU30" s="15">
        <f>SUM(Raw!BD24:BD31)</f>
        <v>0</v>
      </c>
      <c r="BV30" s="15">
        <f>SUM(Raw!BJ24:BJ31)</f>
        <v>0</v>
      </c>
      <c r="BW30" s="15">
        <f>SUM(Raw!BO24:BO31)</f>
        <v>3</v>
      </c>
      <c r="BX30" s="15">
        <f>SUM(Raw!BS24:BS31)</f>
        <v>3</v>
      </c>
      <c r="BY30" s="15">
        <f>SUM(Raw!BV24:BV31)</f>
        <v>4</v>
      </c>
      <c r="BZ30" s="15"/>
      <c r="CA30" s="15">
        <f>SUM(Raw!BY24:BY31)</f>
        <v>2</v>
      </c>
      <c r="CB30" s="15"/>
      <c r="CC30" s="33">
        <v>2</v>
      </c>
      <c r="CD30" s="33">
        <v>2</v>
      </c>
      <c r="CE30" s="33">
        <v>2</v>
      </c>
      <c r="CF30" s="33">
        <v>2</v>
      </c>
      <c r="CG30" s="33">
        <v>2</v>
      </c>
      <c r="CH30" s="33">
        <v>2</v>
      </c>
      <c r="CI30" s="33">
        <v>1</v>
      </c>
      <c r="CJ30" s="33">
        <v>2</v>
      </c>
      <c r="CK30" s="33">
        <v>2</v>
      </c>
      <c r="CL30" s="33">
        <v>0</v>
      </c>
      <c r="CM30" s="33">
        <v>2</v>
      </c>
      <c r="CN30" s="33">
        <v>2</v>
      </c>
      <c r="CO30" s="33">
        <v>0</v>
      </c>
      <c r="CP30" s="33">
        <v>2</v>
      </c>
      <c r="CQ30" s="33">
        <v>2</v>
      </c>
    </row>
    <row r="31" spans="1:95">
      <c r="A31" s="28">
        <v>4</v>
      </c>
      <c r="B31" s="15">
        <v>1</v>
      </c>
      <c r="C31" s="15">
        <v>8</v>
      </c>
      <c r="D31" s="29">
        <v>40876</v>
      </c>
      <c r="E31" s="34">
        <v>2</v>
      </c>
      <c r="F31" s="15">
        <v>1993</v>
      </c>
      <c r="G31" s="31">
        <v>1</v>
      </c>
      <c r="H31" s="31">
        <v>1</v>
      </c>
      <c r="I31" s="31">
        <v>0</v>
      </c>
      <c r="J31" s="31">
        <v>1</v>
      </c>
      <c r="K31" s="31">
        <v>0</v>
      </c>
      <c r="L31" s="31">
        <v>2</v>
      </c>
      <c r="M31" s="31">
        <v>3</v>
      </c>
      <c r="N31" s="32">
        <v>0</v>
      </c>
      <c r="O31" s="15">
        <v>4</v>
      </c>
      <c r="P31" s="15">
        <v>1</v>
      </c>
      <c r="Q31" s="15">
        <v>5</v>
      </c>
      <c r="R31" s="15">
        <v>2</v>
      </c>
      <c r="S31" s="15">
        <v>0</v>
      </c>
      <c r="T31" s="15">
        <v>2</v>
      </c>
      <c r="U31" s="15">
        <v>1</v>
      </c>
      <c r="V31" s="15">
        <v>2</v>
      </c>
      <c r="W31" s="15">
        <v>1</v>
      </c>
      <c r="X31" s="15">
        <v>1</v>
      </c>
      <c r="Y31" s="15">
        <v>1</v>
      </c>
      <c r="Z31" s="15">
        <v>6</v>
      </c>
      <c r="AA31" s="15">
        <v>1</v>
      </c>
      <c r="AB31" s="32">
        <v>3</v>
      </c>
      <c r="AC31" s="32">
        <v>3</v>
      </c>
      <c r="AD31" s="32">
        <v>3</v>
      </c>
      <c r="AE31" s="32">
        <v>3</v>
      </c>
      <c r="AF31" s="32">
        <v>2</v>
      </c>
      <c r="AG31" s="32">
        <v>3</v>
      </c>
      <c r="AH31" s="32">
        <v>3</v>
      </c>
      <c r="AI31" s="15"/>
      <c r="AJ31" s="15"/>
      <c r="AK31" s="32">
        <f t="shared" si="9"/>
        <v>0</v>
      </c>
      <c r="AL31" s="32">
        <f t="shared" si="10"/>
        <v>1</v>
      </c>
      <c r="AM31" s="32">
        <f t="shared" si="11"/>
        <v>6</v>
      </c>
      <c r="AN31" s="32">
        <f t="shared" si="12"/>
        <v>0</v>
      </c>
      <c r="AO31" s="32">
        <v>1</v>
      </c>
      <c r="AP31" s="32">
        <v>1</v>
      </c>
      <c r="AQ31" s="32">
        <v>1</v>
      </c>
      <c r="AR31" s="32">
        <v>1</v>
      </c>
      <c r="AS31" s="32">
        <v>0</v>
      </c>
      <c r="AT31" s="32">
        <v>1</v>
      </c>
      <c r="AU31" s="32">
        <v>1</v>
      </c>
      <c r="AV31" s="32">
        <v>0</v>
      </c>
      <c r="AW31" s="32"/>
      <c r="AX31" s="32">
        <v>3</v>
      </c>
      <c r="AY31" s="32">
        <v>3</v>
      </c>
      <c r="AZ31" s="32">
        <v>3</v>
      </c>
      <c r="BA31" s="32">
        <v>3</v>
      </c>
      <c r="BB31" s="32">
        <v>2</v>
      </c>
      <c r="BC31" s="32">
        <v>3</v>
      </c>
      <c r="BD31" s="32">
        <v>3</v>
      </c>
      <c r="BE31" s="15"/>
      <c r="BF31" s="15"/>
      <c r="BG31" s="32">
        <f t="shared" si="13"/>
        <v>0</v>
      </c>
      <c r="BH31" s="32">
        <f t="shared" si="14"/>
        <v>1</v>
      </c>
      <c r="BI31" s="32">
        <f t="shared" si="15"/>
        <v>6</v>
      </c>
      <c r="BJ31" s="32">
        <f t="shared" si="16"/>
        <v>0</v>
      </c>
      <c r="BK31" s="32">
        <f t="shared" si="0"/>
        <v>1</v>
      </c>
      <c r="BL31" s="32">
        <f t="shared" si="1"/>
        <v>1</v>
      </c>
      <c r="BM31" s="32">
        <f t="shared" si="2"/>
        <v>1</v>
      </c>
      <c r="BN31" s="32">
        <f t="shared" si="3"/>
        <v>1</v>
      </c>
      <c r="BO31" s="32">
        <f t="shared" si="4"/>
        <v>0</v>
      </c>
      <c r="BP31" s="32">
        <f t="shared" si="5"/>
        <v>1</v>
      </c>
      <c r="BQ31" s="32">
        <f t="shared" si="6"/>
        <v>1</v>
      </c>
      <c r="BR31" s="32">
        <f t="shared" si="7"/>
        <v>0</v>
      </c>
      <c r="BS31" s="32">
        <f t="shared" si="8"/>
        <v>0</v>
      </c>
      <c r="BT31" s="15">
        <f>SUM(Raw!AX24:AX31)</f>
        <v>2</v>
      </c>
      <c r="BU31" s="15">
        <f>SUM(Raw!BE24:BE31)</f>
        <v>3</v>
      </c>
      <c r="BV31" s="15">
        <f>SUM(Raw!BK24:BK31)</f>
        <v>5</v>
      </c>
      <c r="BW31" s="15">
        <f>SUM(Raw!BP24:BP31)</f>
        <v>4</v>
      </c>
      <c r="BX31" s="15">
        <f>SUM(Raw!BT24:BT31)</f>
        <v>3</v>
      </c>
      <c r="BY31" s="15">
        <f>SUM(Raw!BW24:BW31)</f>
        <v>5</v>
      </c>
      <c r="BZ31" s="15">
        <f>SUM(Raw!BY24:BY31)</f>
        <v>2</v>
      </c>
      <c r="CA31" s="15"/>
      <c r="CB31" s="15"/>
      <c r="CC31" s="33">
        <v>1</v>
      </c>
      <c r="CD31" s="33">
        <v>2</v>
      </c>
      <c r="CE31" s="33">
        <v>1</v>
      </c>
      <c r="CF31" s="33">
        <v>2</v>
      </c>
      <c r="CG31" s="33">
        <v>1</v>
      </c>
      <c r="CH31" s="33">
        <v>2</v>
      </c>
      <c r="CI31" s="33">
        <v>0</v>
      </c>
      <c r="CJ31" s="33">
        <v>1</v>
      </c>
      <c r="CK31" s="33">
        <v>2</v>
      </c>
      <c r="CL31" s="33">
        <v>0</v>
      </c>
      <c r="CM31" s="33">
        <v>1</v>
      </c>
      <c r="CN31" s="33">
        <v>2</v>
      </c>
      <c r="CO31" s="33">
        <v>0</v>
      </c>
      <c r="CP31" s="33">
        <v>1</v>
      </c>
      <c r="CQ31" s="33">
        <v>2</v>
      </c>
    </row>
    <row r="32" spans="1:95">
      <c r="A32" s="28">
        <v>5</v>
      </c>
      <c r="B32" s="15">
        <v>1</v>
      </c>
      <c r="C32" s="15">
        <v>1</v>
      </c>
      <c r="D32" s="29">
        <v>40876</v>
      </c>
      <c r="E32" s="34">
        <v>2</v>
      </c>
      <c r="F32" s="15">
        <v>1990</v>
      </c>
      <c r="G32" s="31">
        <v>4</v>
      </c>
      <c r="H32" s="31">
        <v>1</v>
      </c>
      <c r="I32" s="31">
        <v>0</v>
      </c>
      <c r="J32" s="31">
        <v>1</v>
      </c>
      <c r="K32" s="31">
        <v>2</v>
      </c>
      <c r="L32" s="31">
        <v>1</v>
      </c>
      <c r="M32" s="31">
        <v>3</v>
      </c>
      <c r="N32" s="32">
        <v>0</v>
      </c>
      <c r="O32" s="15">
        <v>0</v>
      </c>
      <c r="P32" s="15">
        <v>1</v>
      </c>
      <c r="Q32" s="15">
        <v>2</v>
      </c>
      <c r="R32" s="15">
        <v>2</v>
      </c>
      <c r="S32" s="15">
        <v>0</v>
      </c>
      <c r="T32" s="15">
        <v>1</v>
      </c>
      <c r="U32" s="15">
        <v>0</v>
      </c>
      <c r="V32" s="15">
        <v>1</v>
      </c>
      <c r="W32" s="15">
        <v>1</v>
      </c>
      <c r="X32" s="15">
        <v>2</v>
      </c>
      <c r="Y32" s="15">
        <v>2</v>
      </c>
      <c r="Z32" s="15">
        <v>2</v>
      </c>
      <c r="AA32" s="15">
        <v>2</v>
      </c>
      <c r="AB32" s="15"/>
      <c r="AC32" s="32">
        <v>3</v>
      </c>
      <c r="AD32" s="32">
        <v>4</v>
      </c>
      <c r="AE32" s="32">
        <v>2</v>
      </c>
      <c r="AF32" s="32">
        <v>4</v>
      </c>
      <c r="AG32" s="32">
        <v>2</v>
      </c>
      <c r="AH32" s="32">
        <v>1</v>
      </c>
      <c r="AI32" s="15"/>
      <c r="AJ32" s="15"/>
      <c r="AK32" s="32">
        <f t="shared" si="9"/>
        <v>1</v>
      </c>
      <c r="AL32" s="32">
        <f t="shared" si="10"/>
        <v>2</v>
      </c>
      <c r="AM32" s="32">
        <f t="shared" si="11"/>
        <v>1</v>
      </c>
      <c r="AN32" s="32">
        <f t="shared" si="12"/>
        <v>2</v>
      </c>
      <c r="AO32" s="32">
        <v>0</v>
      </c>
      <c r="AP32" s="32">
        <v>1</v>
      </c>
      <c r="AQ32" s="32">
        <v>1</v>
      </c>
      <c r="AR32" s="32">
        <v>0</v>
      </c>
      <c r="AS32" s="32">
        <v>1</v>
      </c>
      <c r="AT32" s="32">
        <v>0</v>
      </c>
      <c r="AU32" s="32">
        <v>0</v>
      </c>
      <c r="AV32" s="32"/>
      <c r="AW32" s="32"/>
      <c r="AX32" s="15"/>
      <c r="AY32" s="32">
        <v>3</v>
      </c>
      <c r="AZ32" s="32">
        <v>4</v>
      </c>
      <c r="BA32" s="32">
        <v>2</v>
      </c>
      <c r="BB32" s="32">
        <v>4</v>
      </c>
      <c r="BC32" s="32">
        <v>2</v>
      </c>
      <c r="BD32" s="32">
        <v>3</v>
      </c>
      <c r="BE32" s="15"/>
      <c r="BF32" s="15"/>
      <c r="BG32" s="32">
        <f t="shared" si="13"/>
        <v>0</v>
      </c>
      <c r="BH32" s="32">
        <f t="shared" si="14"/>
        <v>2</v>
      </c>
      <c r="BI32" s="32">
        <f t="shared" si="15"/>
        <v>2</v>
      </c>
      <c r="BJ32" s="32">
        <f t="shared" si="16"/>
        <v>2</v>
      </c>
      <c r="BK32" s="32">
        <f t="shared" si="0"/>
        <v>0</v>
      </c>
      <c r="BL32" s="32">
        <f t="shared" si="1"/>
        <v>1</v>
      </c>
      <c r="BM32" s="32">
        <f t="shared" si="2"/>
        <v>1</v>
      </c>
      <c r="BN32" s="32">
        <f t="shared" si="3"/>
        <v>0</v>
      </c>
      <c r="BO32" s="32">
        <f t="shared" si="4"/>
        <v>1</v>
      </c>
      <c r="BP32" s="32">
        <f t="shared" si="5"/>
        <v>0</v>
      </c>
      <c r="BQ32" s="32">
        <f t="shared" si="6"/>
        <v>0</v>
      </c>
      <c r="BR32" s="32">
        <f t="shared" si="7"/>
        <v>0</v>
      </c>
      <c r="BS32" s="32">
        <f t="shared" si="8"/>
        <v>0</v>
      </c>
      <c r="BT32" s="15"/>
      <c r="BU32" s="15">
        <f>SUM(Raw!AR32:AR38)</f>
        <v>4</v>
      </c>
      <c r="BV32" s="15">
        <f>SUM(Raw!AS32:AS38)</f>
        <v>4</v>
      </c>
      <c r="BW32" s="15">
        <f>SUM(Raw!AT32:AT38)</f>
        <v>0</v>
      </c>
      <c r="BX32" s="15">
        <f>SUM(Raw!AU32:AU38)</f>
        <v>4</v>
      </c>
      <c r="BY32" s="15">
        <f>SUM(Raw!AV32:AV38)</f>
        <v>0</v>
      </c>
      <c r="BZ32" s="15">
        <f>SUM(Raw!AW32:AW38)</f>
        <v>0</v>
      </c>
      <c r="CA32" s="15"/>
      <c r="CB32" s="15"/>
      <c r="CC32" s="33">
        <v>2</v>
      </c>
      <c r="CD32" s="33">
        <v>2</v>
      </c>
      <c r="CE32" s="33">
        <v>2</v>
      </c>
      <c r="CF32" s="33">
        <v>2</v>
      </c>
      <c r="CG32" s="33">
        <v>2</v>
      </c>
      <c r="CH32" s="33">
        <v>2</v>
      </c>
      <c r="CI32" s="33">
        <v>1</v>
      </c>
      <c r="CJ32" s="33">
        <v>2</v>
      </c>
      <c r="CK32" s="33">
        <v>2</v>
      </c>
      <c r="CL32" s="33">
        <v>1</v>
      </c>
      <c r="CM32" s="33">
        <v>2</v>
      </c>
      <c r="CN32" s="33">
        <v>2</v>
      </c>
      <c r="CO32" s="33">
        <v>0</v>
      </c>
      <c r="CP32" s="33">
        <v>2</v>
      </c>
      <c r="CQ32" s="33">
        <v>2</v>
      </c>
    </row>
    <row r="33" spans="1:95">
      <c r="A33" s="28">
        <v>5</v>
      </c>
      <c r="B33" s="15">
        <v>1</v>
      </c>
      <c r="C33" s="15">
        <v>2</v>
      </c>
      <c r="D33" s="29">
        <v>40876</v>
      </c>
      <c r="E33" s="34">
        <v>2</v>
      </c>
      <c r="F33" s="15">
        <v>1989</v>
      </c>
      <c r="G33" s="31">
        <v>4</v>
      </c>
      <c r="H33" s="31">
        <v>1</v>
      </c>
      <c r="I33" s="31">
        <v>0</v>
      </c>
      <c r="J33" s="31">
        <v>0</v>
      </c>
      <c r="K33" s="31">
        <v>1</v>
      </c>
      <c r="L33" s="31">
        <v>2</v>
      </c>
      <c r="M33" s="31">
        <v>0</v>
      </c>
      <c r="N33" s="32">
        <v>0</v>
      </c>
      <c r="O33" s="15">
        <v>0</v>
      </c>
      <c r="P33" s="15">
        <v>1</v>
      </c>
      <c r="Q33" s="15">
        <v>1</v>
      </c>
      <c r="R33" s="15">
        <v>0</v>
      </c>
      <c r="S33" s="15">
        <v>0</v>
      </c>
      <c r="T33" s="15">
        <v>1</v>
      </c>
      <c r="U33" s="15">
        <v>0</v>
      </c>
      <c r="V33" s="15">
        <v>2</v>
      </c>
      <c r="W33" s="15">
        <v>1</v>
      </c>
      <c r="X33" s="15">
        <v>1</v>
      </c>
      <c r="Y33" s="15">
        <v>0</v>
      </c>
      <c r="Z33" s="15">
        <v>1</v>
      </c>
      <c r="AA33" s="15">
        <v>1</v>
      </c>
      <c r="AB33" s="32">
        <v>3</v>
      </c>
      <c r="AC33" s="15"/>
      <c r="AD33" s="32">
        <v>3</v>
      </c>
      <c r="AE33" s="32">
        <v>3</v>
      </c>
      <c r="AF33" s="32">
        <v>3</v>
      </c>
      <c r="AG33" s="32">
        <v>3</v>
      </c>
      <c r="AH33" s="32">
        <v>2</v>
      </c>
      <c r="AI33" s="15"/>
      <c r="AJ33" s="15"/>
      <c r="AK33" s="32">
        <f t="shared" si="9"/>
        <v>0</v>
      </c>
      <c r="AL33" s="32">
        <f t="shared" si="10"/>
        <v>1</v>
      </c>
      <c r="AM33" s="32">
        <f t="shared" si="11"/>
        <v>5</v>
      </c>
      <c r="AN33" s="32">
        <f t="shared" si="12"/>
        <v>0</v>
      </c>
      <c r="AO33" s="32">
        <v>1</v>
      </c>
      <c r="AP33" s="32">
        <v>0</v>
      </c>
      <c r="AQ33" s="32">
        <v>1</v>
      </c>
      <c r="AR33" s="32">
        <v>1</v>
      </c>
      <c r="AS33" s="32">
        <v>1</v>
      </c>
      <c r="AT33" s="32">
        <v>1</v>
      </c>
      <c r="AU33" s="32">
        <v>0</v>
      </c>
      <c r="AV33" s="32"/>
      <c r="AW33" s="32"/>
      <c r="AX33" s="32">
        <v>3</v>
      </c>
      <c r="AY33" s="15"/>
      <c r="AZ33" s="32">
        <v>3</v>
      </c>
      <c r="BA33" s="32">
        <v>3</v>
      </c>
      <c r="BB33" s="32">
        <v>3</v>
      </c>
      <c r="BC33" s="32">
        <v>3</v>
      </c>
      <c r="BD33" s="32">
        <v>3</v>
      </c>
      <c r="BE33" s="15"/>
      <c r="BF33" s="15"/>
      <c r="BG33" s="32">
        <f t="shared" si="13"/>
        <v>0</v>
      </c>
      <c r="BH33" s="32">
        <f t="shared" si="14"/>
        <v>0</v>
      </c>
      <c r="BI33" s="32">
        <f t="shared" si="15"/>
        <v>6</v>
      </c>
      <c r="BJ33" s="32">
        <f t="shared" si="16"/>
        <v>0</v>
      </c>
      <c r="BK33" s="32">
        <f t="shared" si="0"/>
        <v>1</v>
      </c>
      <c r="BL33" s="32">
        <f t="shared" si="1"/>
        <v>0</v>
      </c>
      <c r="BM33" s="32">
        <f t="shared" si="2"/>
        <v>1</v>
      </c>
      <c r="BN33" s="32">
        <f t="shared" si="3"/>
        <v>1</v>
      </c>
      <c r="BO33" s="32">
        <f t="shared" si="4"/>
        <v>1</v>
      </c>
      <c r="BP33" s="32">
        <f t="shared" si="5"/>
        <v>1</v>
      </c>
      <c r="BQ33" s="32">
        <f t="shared" si="6"/>
        <v>0</v>
      </c>
      <c r="BR33" s="32">
        <f t="shared" si="7"/>
        <v>0</v>
      </c>
      <c r="BS33" s="32">
        <f t="shared" si="8"/>
        <v>0</v>
      </c>
      <c r="BT33" s="15">
        <f>SUM(Raw!AR32:AR38)</f>
        <v>4</v>
      </c>
      <c r="BU33" s="15"/>
      <c r="BV33" s="15">
        <f>SUM(Raw!AZ32:AZ38)</f>
        <v>4</v>
      </c>
      <c r="BW33" s="15">
        <f>SUM(Raw!BA32:BA38)</f>
        <v>0</v>
      </c>
      <c r="BX33" s="15">
        <f>SUM(Raw!BB32:BB38)</f>
        <v>1</v>
      </c>
      <c r="BY33" s="15">
        <f>SUM(Raw!BC32:BC38)</f>
        <v>0</v>
      </c>
      <c r="BZ33" s="15">
        <f>SUM(Raw!BD32:BD38)</f>
        <v>0</v>
      </c>
      <c r="CA33" s="15"/>
      <c r="CB33" s="15"/>
      <c r="CC33" s="33">
        <v>2</v>
      </c>
      <c r="CD33" s="33">
        <v>2</v>
      </c>
      <c r="CE33" s="33">
        <v>1</v>
      </c>
      <c r="CF33" s="33">
        <v>2</v>
      </c>
      <c r="CG33" s="33">
        <v>2</v>
      </c>
      <c r="CH33" s="33">
        <v>1</v>
      </c>
      <c r="CI33" s="33">
        <v>1</v>
      </c>
      <c r="CJ33" s="33">
        <v>1</v>
      </c>
      <c r="CK33" s="33">
        <v>1</v>
      </c>
      <c r="CL33" s="33">
        <v>1</v>
      </c>
      <c r="CM33" s="33">
        <v>2</v>
      </c>
      <c r="CN33" s="33">
        <v>2</v>
      </c>
      <c r="CO33" s="33">
        <v>0</v>
      </c>
      <c r="CP33" s="33">
        <v>1</v>
      </c>
      <c r="CQ33" s="33">
        <v>2</v>
      </c>
    </row>
    <row r="34" spans="1:95">
      <c r="A34" s="28">
        <v>5</v>
      </c>
      <c r="B34" s="15">
        <v>1</v>
      </c>
      <c r="C34" s="15">
        <v>3</v>
      </c>
      <c r="D34" s="29">
        <v>40876</v>
      </c>
      <c r="E34" s="34">
        <v>2</v>
      </c>
      <c r="F34" s="15">
        <v>1987</v>
      </c>
      <c r="G34" s="31">
        <v>4</v>
      </c>
      <c r="H34" s="31">
        <v>1</v>
      </c>
      <c r="I34" s="31">
        <v>0</v>
      </c>
      <c r="J34" s="31">
        <v>0</v>
      </c>
      <c r="K34" s="31">
        <v>1</v>
      </c>
      <c r="L34" s="31">
        <v>1</v>
      </c>
      <c r="M34" s="31">
        <v>1</v>
      </c>
      <c r="N34" s="32">
        <v>2</v>
      </c>
      <c r="O34" s="15">
        <v>1</v>
      </c>
      <c r="P34" s="15">
        <v>0</v>
      </c>
      <c r="Q34" s="15">
        <v>2</v>
      </c>
      <c r="R34" s="15">
        <v>0</v>
      </c>
      <c r="S34" s="15">
        <v>0</v>
      </c>
      <c r="T34" s="15">
        <v>1</v>
      </c>
      <c r="U34" s="15">
        <v>0</v>
      </c>
      <c r="V34" s="15">
        <v>2</v>
      </c>
      <c r="W34" s="15">
        <v>2</v>
      </c>
      <c r="X34" s="15">
        <v>1</v>
      </c>
      <c r="Y34" s="15">
        <v>1</v>
      </c>
      <c r="Z34" s="15">
        <v>1</v>
      </c>
      <c r="AA34" s="15">
        <v>2</v>
      </c>
      <c r="AB34" s="32">
        <v>3</v>
      </c>
      <c r="AC34" s="32">
        <v>4</v>
      </c>
      <c r="AD34" s="15"/>
      <c r="AE34" s="32">
        <v>2</v>
      </c>
      <c r="AF34" s="32">
        <v>3</v>
      </c>
      <c r="AG34" s="32">
        <v>2</v>
      </c>
      <c r="AH34" s="32">
        <v>2</v>
      </c>
      <c r="AI34" s="15"/>
      <c r="AJ34" s="15"/>
      <c r="AK34" s="32">
        <f t="shared" si="9"/>
        <v>0</v>
      </c>
      <c r="AL34" s="32">
        <f t="shared" si="10"/>
        <v>3</v>
      </c>
      <c r="AM34" s="32">
        <f t="shared" si="11"/>
        <v>2</v>
      </c>
      <c r="AN34" s="32">
        <f t="shared" si="12"/>
        <v>1</v>
      </c>
      <c r="AO34" s="32">
        <v>1</v>
      </c>
      <c r="AP34" s="32">
        <v>1</v>
      </c>
      <c r="AQ34" s="32">
        <v>0</v>
      </c>
      <c r="AR34" s="32">
        <v>0</v>
      </c>
      <c r="AS34" s="32">
        <v>1</v>
      </c>
      <c r="AT34" s="32">
        <v>0</v>
      </c>
      <c r="AU34" s="32">
        <v>0</v>
      </c>
      <c r="AV34" s="32"/>
      <c r="AW34" s="32"/>
      <c r="AX34" s="32">
        <v>3</v>
      </c>
      <c r="AY34" s="32">
        <v>4</v>
      </c>
      <c r="AZ34" s="15"/>
      <c r="BA34" s="32">
        <v>2</v>
      </c>
      <c r="BB34" s="32">
        <v>3</v>
      </c>
      <c r="BC34" s="32">
        <v>2</v>
      </c>
      <c r="BD34" s="32">
        <v>2</v>
      </c>
      <c r="BE34" s="15"/>
      <c r="BF34" s="15"/>
      <c r="BG34" s="32">
        <f t="shared" si="13"/>
        <v>0</v>
      </c>
      <c r="BH34" s="32">
        <f t="shared" si="14"/>
        <v>3</v>
      </c>
      <c r="BI34" s="32">
        <f t="shared" si="15"/>
        <v>2</v>
      </c>
      <c r="BJ34" s="32">
        <f t="shared" si="16"/>
        <v>1</v>
      </c>
      <c r="BK34" s="32">
        <f t="shared" ref="BK34:BK65" si="17">IF(AND(OR(AB34=3,AB34=4),OR(AX34=3,AX34=4)),1,0)</f>
        <v>1</v>
      </c>
      <c r="BL34" s="32">
        <f t="shared" ref="BL34:BL65" si="18">IF(AND(OR(AC34=3,AC34=4),OR(AY34=3,AY34=4)),1,0)</f>
        <v>1</v>
      </c>
      <c r="BM34" s="32">
        <f t="shared" ref="BM34:BM65" si="19">IF(AND(OR(AD34=3,AD34=4),OR(AZ34=3,AZ34=4)),1,0)</f>
        <v>0</v>
      </c>
      <c r="BN34" s="32">
        <f t="shared" ref="BN34:BN65" si="20">IF(AND(OR(AE34=3,AE34=4),OR(BA34=3,BA34=4)),1,0)</f>
        <v>0</v>
      </c>
      <c r="BO34" s="32">
        <f t="shared" ref="BO34:BO65" si="21">IF(AND(OR(AF34=3,AF34=4),OR(BB34=3,BB34=4)),1,0)</f>
        <v>1</v>
      </c>
      <c r="BP34" s="32">
        <f t="shared" ref="BP34:BP65" si="22">IF(AND(OR(AG34=3,AG34=4),OR(BC34=3,BC34=4)),1,0)</f>
        <v>0</v>
      </c>
      <c r="BQ34" s="32">
        <f t="shared" ref="BQ34:BQ65" si="23">IF(AND(OR(AH34=3,AH34=4),OR(BD34=3,BD34=4)),1,0)</f>
        <v>0</v>
      </c>
      <c r="BR34" s="32">
        <f t="shared" ref="BR34:BR65" si="24">IF(AND(OR(AI34=3,AI34=4),OR(BE34=3,BE34=4)),1,0)</f>
        <v>0</v>
      </c>
      <c r="BS34" s="32">
        <f t="shared" ref="BS34:BS65" si="25">IF(AND(OR(AJ34=3,AJ34=4),OR(BF34=3,BF34=4)),1,0)</f>
        <v>0</v>
      </c>
      <c r="BT34" s="15">
        <f>SUM(Raw!AS32:AS38)</f>
        <v>4</v>
      </c>
      <c r="BU34" s="15">
        <f>SUM(Raw!AZ32:AZ38)</f>
        <v>4</v>
      </c>
      <c r="BV34" s="15"/>
      <c r="BW34" s="15">
        <f>SUM(Raw!BG32:BG39)</f>
        <v>0</v>
      </c>
      <c r="BX34" s="15">
        <f>SUM(Raw!BH32:BH39)</f>
        <v>3</v>
      </c>
      <c r="BY34" s="15">
        <f>SUM(Raw!BI32:BI39)</f>
        <v>0</v>
      </c>
      <c r="BZ34" s="15">
        <f>SUM(Raw!BJ32:BJ39)</f>
        <v>0</v>
      </c>
      <c r="CA34" s="15"/>
      <c r="CB34" s="15"/>
      <c r="CC34" s="33">
        <v>2</v>
      </c>
      <c r="CD34" s="33">
        <v>2</v>
      </c>
      <c r="CE34" s="33">
        <v>1</v>
      </c>
      <c r="CF34" s="33">
        <v>2</v>
      </c>
      <c r="CG34" s="33">
        <v>1</v>
      </c>
      <c r="CH34" s="33">
        <v>2</v>
      </c>
      <c r="CI34" s="33">
        <v>0</v>
      </c>
      <c r="CJ34" s="33">
        <v>2</v>
      </c>
      <c r="CK34" s="33">
        <v>2</v>
      </c>
      <c r="CL34" s="33">
        <v>0</v>
      </c>
      <c r="CM34" s="33">
        <v>1</v>
      </c>
      <c r="CN34" s="33">
        <v>2</v>
      </c>
      <c r="CO34" s="33">
        <v>0</v>
      </c>
      <c r="CP34" s="33">
        <v>1</v>
      </c>
      <c r="CQ34" s="33">
        <v>2</v>
      </c>
    </row>
    <row r="35" spans="1:95">
      <c r="A35" s="28">
        <v>5</v>
      </c>
      <c r="B35" s="15">
        <v>1</v>
      </c>
      <c r="C35" s="15">
        <v>4</v>
      </c>
      <c r="D35" s="29">
        <v>40876</v>
      </c>
      <c r="E35" s="34">
        <v>2</v>
      </c>
      <c r="F35" s="15">
        <v>1993</v>
      </c>
      <c r="G35" s="31">
        <v>3</v>
      </c>
      <c r="H35" s="31">
        <v>1</v>
      </c>
      <c r="I35" s="31">
        <v>0</v>
      </c>
      <c r="J35" s="31">
        <v>2</v>
      </c>
      <c r="K35" s="31">
        <v>1</v>
      </c>
      <c r="L35" s="31">
        <v>1</v>
      </c>
      <c r="M35" s="31">
        <v>2</v>
      </c>
      <c r="N35" s="32">
        <v>1</v>
      </c>
      <c r="O35" s="15">
        <v>4</v>
      </c>
      <c r="P35" s="15">
        <v>0</v>
      </c>
      <c r="Q35" s="15">
        <v>2</v>
      </c>
      <c r="R35" s="15">
        <v>2</v>
      </c>
      <c r="S35" s="15">
        <v>0</v>
      </c>
      <c r="T35" s="15">
        <v>3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1</v>
      </c>
      <c r="AB35" s="32">
        <v>3</v>
      </c>
      <c r="AC35" s="32">
        <v>3</v>
      </c>
      <c r="AD35" s="32">
        <v>3</v>
      </c>
      <c r="AE35" s="15"/>
      <c r="AF35" s="32">
        <v>2</v>
      </c>
      <c r="AG35" s="32">
        <v>2</v>
      </c>
      <c r="AH35" s="32">
        <v>3</v>
      </c>
      <c r="AI35" s="15"/>
      <c r="AJ35" s="15"/>
      <c r="AK35" s="32">
        <f t="shared" si="9"/>
        <v>0</v>
      </c>
      <c r="AL35" s="32">
        <f t="shared" si="10"/>
        <v>2</v>
      </c>
      <c r="AM35" s="32">
        <f t="shared" si="11"/>
        <v>4</v>
      </c>
      <c r="AN35" s="32">
        <f t="shared" si="12"/>
        <v>0</v>
      </c>
      <c r="AO35" s="32">
        <v>0</v>
      </c>
      <c r="AP35" s="32">
        <v>1</v>
      </c>
      <c r="AQ35" s="32">
        <v>0</v>
      </c>
      <c r="AR35" s="32">
        <v>0</v>
      </c>
      <c r="AS35" s="32">
        <v>0</v>
      </c>
      <c r="AT35" s="32">
        <v>0</v>
      </c>
      <c r="AU35" s="32">
        <v>1</v>
      </c>
      <c r="AV35" s="32"/>
      <c r="AW35" s="32"/>
      <c r="AX35" s="32">
        <v>3</v>
      </c>
      <c r="AY35" s="32">
        <v>3</v>
      </c>
      <c r="AZ35" s="32">
        <v>3</v>
      </c>
      <c r="BA35" s="15"/>
      <c r="BB35" s="32">
        <v>3</v>
      </c>
      <c r="BC35" s="32">
        <v>2</v>
      </c>
      <c r="BD35" s="32">
        <v>3</v>
      </c>
      <c r="BE35" s="15"/>
      <c r="BF35" s="15"/>
      <c r="BG35" s="32">
        <f t="shared" si="13"/>
        <v>0</v>
      </c>
      <c r="BH35" s="32">
        <f t="shared" si="14"/>
        <v>1</v>
      </c>
      <c r="BI35" s="32">
        <f t="shared" si="15"/>
        <v>5</v>
      </c>
      <c r="BJ35" s="32">
        <f t="shared" si="16"/>
        <v>0</v>
      </c>
      <c r="BK35" s="32">
        <f t="shared" si="17"/>
        <v>1</v>
      </c>
      <c r="BL35" s="32">
        <f t="shared" si="18"/>
        <v>1</v>
      </c>
      <c r="BM35" s="32">
        <f t="shared" si="19"/>
        <v>1</v>
      </c>
      <c r="BN35" s="32">
        <f t="shared" si="20"/>
        <v>0</v>
      </c>
      <c r="BO35" s="32">
        <f t="shared" si="21"/>
        <v>0</v>
      </c>
      <c r="BP35" s="32">
        <f t="shared" si="22"/>
        <v>0</v>
      </c>
      <c r="BQ35" s="32">
        <f t="shared" si="23"/>
        <v>1</v>
      </c>
      <c r="BR35" s="32">
        <f t="shared" si="24"/>
        <v>0</v>
      </c>
      <c r="BS35" s="32">
        <f t="shared" si="25"/>
        <v>0</v>
      </c>
      <c r="BT35" s="15">
        <f>SUM(Raw!AT32:AT38)</f>
        <v>0</v>
      </c>
      <c r="BU35" s="15">
        <f>SUM(Raw!BA32:BA38)</f>
        <v>0</v>
      </c>
      <c r="BV35" s="15">
        <f>SUM(Raw!BG32:BG38)</f>
        <v>0</v>
      </c>
      <c r="BW35" s="15"/>
      <c r="BX35" s="15">
        <f>SUM(Raw!BM32:BM38)</f>
        <v>0</v>
      </c>
      <c r="BY35" s="15">
        <f>SUM(Raw!BN32:BN38)</f>
        <v>0</v>
      </c>
      <c r="BZ35" s="15">
        <f>SUM(Raw!BO32:BO38)</f>
        <v>0</v>
      </c>
      <c r="CA35" s="15"/>
      <c r="CB35" s="15"/>
      <c r="CC35" s="33">
        <v>2</v>
      </c>
      <c r="CD35" s="33">
        <v>2</v>
      </c>
      <c r="CE35" s="33">
        <v>2</v>
      </c>
      <c r="CF35" s="33">
        <v>2</v>
      </c>
      <c r="CG35" s="33">
        <v>2</v>
      </c>
      <c r="CH35" s="33">
        <v>2</v>
      </c>
      <c r="CI35" s="33">
        <v>1</v>
      </c>
      <c r="CJ35" s="33">
        <v>2</v>
      </c>
      <c r="CK35" s="33">
        <v>2</v>
      </c>
      <c r="CL35" s="33">
        <v>1</v>
      </c>
      <c r="CM35" s="33">
        <v>2</v>
      </c>
      <c r="CN35" s="33">
        <v>2</v>
      </c>
      <c r="CO35" s="33">
        <v>1</v>
      </c>
      <c r="CP35" s="33">
        <v>2</v>
      </c>
      <c r="CQ35" s="33">
        <v>2</v>
      </c>
    </row>
    <row r="36" spans="1:95">
      <c r="A36" s="28">
        <v>5</v>
      </c>
      <c r="B36" s="15">
        <v>1</v>
      </c>
      <c r="C36" s="15">
        <v>5</v>
      </c>
      <c r="D36" s="29">
        <v>40876</v>
      </c>
      <c r="E36" s="34">
        <v>2</v>
      </c>
      <c r="F36" s="15">
        <v>1992</v>
      </c>
      <c r="G36" s="31">
        <v>6</v>
      </c>
      <c r="H36" s="31">
        <v>1</v>
      </c>
      <c r="I36" s="31">
        <v>0</v>
      </c>
      <c r="J36" s="31">
        <v>1</v>
      </c>
      <c r="K36" s="31">
        <v>2</v>
      </c>
      <c r="L36" s="31">
        <v>2</v>
      </c>
      <c r="M36" s="32">
        <v>5</v>
      </c>
      <c r="N36" s="15">
        <v>5</v>
      </c>
      <c r="O36" s="15">
        <v>6</v>
      </c>
      <c r="P36" s="15">
        <v>0</v>
      </c>
      <c r="Q36" s="15">
        <v>2</v>
      </c>
      <c r="R36" s="15">
        <v>0</v>
      </c>
      <c r="S36" s="15">
        <v>0</v>
      </c>
      <c r="T36" s="15">
        <v>2</v>
      </c>
      <c r="U36" s="15">
        <v>1</v>
      </c>
      <c r="V36" s="15">
        <v>2</v>
      </c>
      <c r="W36" s="15">
        <v>1</v>
      </c>
      <c r="X36" s="15">
        <v>2</v>
      </c>
      <c r="Y36" s="15">
        <v>1</v>
      </c>
      <c r="Z36" s="15">
        <v>2</v>
      </c>
      <c r="AA36" s="15">
        <v>2</v>
      </c>
      <c r="AB36" s="32">
        <v>3</v>
      </c>
      <c r="AC36" s="32">
        <v>3</v>
      </c>
      <c r="AD36" s="32">
        <v>3</v>
      </c>
      <c r="AE36" s="32">
        <v>2</v>
      </c>
      <c r="AF36" s="15"/>
      <c r="AG36" s="32">
        <v>2</v>
      </c>
      <c r="AH36" s="32">
        <v>2</v>
      </c>
      <c r="AI36" s="15"/>
      <c r="AJ36" s="15"/>
      <c r="AK36" s="32">
        <f t="shared" si="9"/>
        <v>0</v>
      </c>
      <c r="AL36" s="32">
        <f t="shared" si="10"/>
        <v>3</v>
      </c>
      <c r="AM36" s="32">
        <f t="shared" si="11"/>
        <v>3</v>
      </c>
      <c r="AN36" s="32">
        <f t="shared" si="12"/>
        <v>0</v>
      </c>
      <c r="AO36" s="32">
        <v>1</v>
      </c>
      <c r="AP36" s="32">
        <v>1</v>
      </c>
      <c r="AQ36" s="32">
        <v>1</v>
      </c>
      <c r="AR36" s="32">
        <v>0</v>
      </c>
      <c r="AS36" s="32">
        <v>0</v>
      </c>
      <c r="AT36" s="32">
        <v>0</v>
      </c>
      <c r="AU36" s="32">
        <v>0</v>
      </c>
      <c r="AV36" s="32"/>
      <c r="AW36" s="32"/>
      <c r="AX36" s="32">
        <v>3</v>
      </c>
      <c r="AY36" s="32">
        <v>3</v>
      </c>
      <c r="AZ36" s="32">
        <v>3</v>
      </c>
      <c r="BA36" s="32">
        <v>2</v>
      </c>
      <c r="BB36" s="15"/>
      <c r="BC36" s="32">
        <v>2</v>
      </c>
      <c r="BD36" s="32">
        <v>2</v>
      </c>
      <c r="BE36" s="15"/>
      <c r="BF36" s="15"/>
      <c r="BG36" s="32">
        <f t="shared" si="13"/>
        <v>0</v>
      </c>
      <c r="BH36" s="32">
        <f t="shared" si="14"/>
        <v>3</v>
      </c>
      <c r="BI36" s="32">
        <f t="shared" si="15"/>
        <v>3</v>
      </c>
      <c r="BJ36" s="32">
        <f t="shared" si="16"/>
        <v>0</v>
      </c>
      <c r="BK36" s="32">
        <f t="shared" si="17"/>
        <v>1</v>
      </c>
      <c r="BL36" s="32">
        <f t="shared" si="18"/>
        <v>1</v>
      </c>
      <c r="BM36" s="32">
        <f t="shared" si="19"/>
        <v>1</v>
      </c>
      <c r="BN36" s="32">
        <f t="shared" si="20"/>
        <v>0</v>
      </c>
      <c r="BO36" s="32">
        <f t="shared" si="21"/>
        <v>0</v>
      </c>
      <c r="BP36" s="32">
        <f t="shared" si="22"/>
        <v>0</v>
      </c>
      <c r="BQ36" s="32">
        <f t="shared" si="23"/>
        <v>0</v>
      </c>
      <c r="BR36" s="32">
        <f t="shared" si="24"/>
        <v>0</v>
      </c>
      <c r="BS36" s="32">
        <f t="shared" si="25"/>
        <v>0</v>
      </c>
      <c r="BT36" s="15">
        <f>SUM(Raw!AU32:AU38)</f>
        <v>4</v>
      </c>
      <c r="BU36" s="15">
        <f>SUM(Raw!BB32:BB38)</f>
        <v>1</v>
      </c>
      <c r="BV36" s="15">
        <f>SUM(Raw!BH32:BH38)</f>
        <v>3</v>
      </c>
      <c r="BW36" s="15">
        <f>SUM(Raw!BM32:BM38)</f>
        <v>0</v>
      </c>
      <c r="BX36" s="15"/>
      <c r="BY36" s="15">
        <f>SUM(Raw!BR32:BR38)</f>
        <v>0</v>
      </c>
      <c r="BZ36" s="15">
        <f>SUM(Raw!BS32:BS38)</f>
        <v>0</v>
      </c>
      <c r="CA36" s="15"/>
      <c r="CB36" s="15"/>
      <c r="CC36" s="33">
        <v>1</v>
      </c>
      <c r="CD36" s="33">
        <v>1</v>
      </c>
      <c r="CE36" s="33">
        <v>1</v>
      </c>
      <c r="CF36" s="33">
        <v>1</v>
      </c>
      <c r="CG36" s="33">
        <v>1</v>
      </c>
      <c r="CH36" s="33">
        <v>1</v>
      </c>
      <c r="CI36" s="33">
        <v>1</v>
      </c>
      <c r="CJ36" s="33">
        <v>2</v>
      </c>
      <c r="CK36" s="33">
        <v>2</v>
      </c>
      <c r="CL36" s="33">
        <v>1</v>
      </c>
      <c r="CM36" s="33">
        <v>1</v>
      </c>
      <c r="CN36" s="33">
        <v>1</v>
      </c>
      <c r="CO36" s="33">
        <v>0</v>
      </c>
      <c r="CP36" s="33">
        <v>2</v>
      </c>
      <c r="CQ36" s="33">
        <v>1</v>
      </c>
    </row>
    <row r="37" spans="1:95">
      <c r="A37" s="28">
        <v>5</v>
      </c>
      <c r="B37" s="15">
        <v>1</v>
      </c>
      <c r="C37" s="15">
        <v>6</v>
      </c>
      <c r="D37" s="29">
        <v>40883</v>
      </c>
      <c r="E37" s="34">
        <v>2</v>
      </c>
      <c r="F37" s="15">
        <v>1985</v>
      </c>
      <c r="G37" s="31">
        <v>4</v>
      </c>
      <c r="H37" s="15">
        <v>2</v>
      </c>
      <c r="I37" s="31">
        <v>1</v>
      </c>
      <c r="J37" s="31">
        <v>2</v>
      </c>
      <c r="K37" s="31">
        <v>2</v>
      </c>
      <c r="L37" s="31">
        <v>2</v>
      </c>
      <c r="M37" s="31">
        <v>0</v>
      </c>
      <c r="N37" s="32">
        <v>0</v>
      </c>
      <c r="O37" s="15">
        <v>5</v>
      </c>
      <c r="P37" s="15">
        <v>1</v>
      </c>
      <c r="Q37" s="15">
        <v>6</v>
      </c>
      <c r="R37" s="15">
        <v>0</v>
      </c>
      <c r="S37" s="15">
        <v>0</v>
      </c>
      <c r="T37" s="15">
        <v>3</v>
      </c>
      <c r="U37" s="15">
        <v>2</v>
      </c>
      <c r="V37" s="15">
        <v>2</v>
      </c>
      <c r="W37" s="15">
        <v>1</v>
      </c>
      <c r="X37" s="15">
        <v>6</v>
      </c>
      <c r="Y37" s="15">
        <v>1</v>
      </c>
      <c r="Z37" s="15">
        <v>0</v>
      </c>
      <c r="AA37" s="15">
        <v>2</v>
      </c>
      <c r="AB37" s="32">
        <v>2</v>
      </c>
      <c r="AC37" s="32">
        <v>3</v>
      </c>
      <c r="AD37" s="32">
        <v>3</v>
      </c>
      <c r="AE37" s="32">
        <v>2</v>
      </c>
      <c r="AF37" s="32">
        <v>2</v>
      </c>
      <c r="AG37" s="15"/>
      <c r="AH37" s="32">
        <v>1</v>
      </c>
      <c r="AI37" s="15"/>
      <c r="AJ37" s="15"/>
      <c r="AK37" s="32">
        <f t="shared" si="9"/>
        <v>1</v>
      </c>
      <c r="AL37" s="32">
        <f t="shared" si="10"/>
        <v>3</v>
      </c>
      <c r="AM37" s="32">
        <f t="shared" si="11"/>
        <v>2</v>
      </c>
      <c r="AN37" s="32">
        <f t="shared" si="12"/>
        <v>0</v>
      </c>
      <c r="AO37" s="32">
        <v>0</v>
      </c>
      <c r="AP37" s="32">
        <v>1</v>
      </c>
      <c r="AQ37" s="32">
        <v>0</v>
      </c>
      <c r="AR37" s="32">
        <v>0</v>
      </c>
      <c r="AS37" s="32">
        <v>0</v>
      </c>
      <c r="AT37" s="32">
        <v>0</v>
      </c>
      <c r="AU37" s="32">
        <v>0</v>
      </c>
      <c r="AV37" s="32"/>
      <c r="AW37" s="32"/>
      <c r="AX37" s="32">
        <v>2</v>
      </c>
      <c r="AY37" s="32">
        <v>2</v>
      </c>
      <c r="AZ37" s="32">
        <v>3</v>
      </c>
      <c r="BA37" s="32">
        <v>2</v>
      </c>
      <c r="BB37" s="32">
        <v>2</v>
      </c>
      <c r="BC37" s="32">
        <v>4</v>
      </c>
      <c r="BD37" s="32">
        <v>1</v>
      </c>
      <c r="BE37" s="15"/>
      <c r="BF37" s="15"/>
      <c r="BG37" s="32">
        <f t="shared" si="13"/>
        <v>1</v>
      </c>
      <c r="BH37" s="32">
        <f t="shared" si="14"/>
        <v>4</v>
      </c>
      <c r="BI37" s="32">
        <f t="shared" si="15"/>
        <v>1</v>
      </c>
      <c r="BJ37" s="32">
        <f t="shared" si="16"/>
        <v>1</v>
      </c>
      <c r="BK37" s="32">
        <f t="shared" si="17"/>
        <v>0</v>
      </c>
      <c r="BL37" s="32">
        <f t="shared" si="18"/>
        <v>0</v>
      </c>
      <c r="BM37" s="32">
        <f t="shared" si="19"/>
        <v>1</v>
      </c>
      <c r="BN37" s="32">
        <f t="shared" si="20"/>
        <v>0</v>
      </c>
      <c r="BO37" s="32">
        <f t="shared" si="21"/>
        <v>0</v>
      </c>
      <c r="BP37" s="32">
        <f t="shared" si="22"/>
        <v>0</v>
      </c>
      <c r="BQ37" s="32">
        <f t="shared" si="23"/>
        <v>0</v>
      </c>
      <c r="BR37" s="32">
        <f t="shared" si="24"/>
        <v>0</v>
      </c>
      <c r="BS37" s="32">
        <f t="shared" si="25"/>
        <v>0</v>
      </c>
      <c r="BT37" s="15">
        <f>SUM(Raw!AV32:AV38)</f>
        <v>0</v>
      </c>
      <c r="BU37" s="15">
        <f>SUM(Raw!BC32:BC38)</f>
        <v>0</v>
      </c>
      <c r="BV37" s="15">
        <f>SUM(Raw!BI32:BI38)</f>
        <v>0</v>
      </c>
      <c r="BW37" s="15">
        <f>SUM(Raw!BN32:BN38)</f>
        <v>0</v>
      </c>
      <c r="BX37" s="15">
        <f>SUM(Raw!BR32:BR38)</f>
        <v>0</v>
      </c>
      <c r="BY37" s="15"/>
      <c r="BZ37" s="15">
        <f>SUM(Raw!BV32:BV38)</f>
        <v>0</v>
      </c>
      <c r="CA37" s="15"/>
      <c r="CB37" s="15"/>
      <c r="CC37" s="33">
        <v>1</v>
      </c>
      <c r="CD37" s="33">
        <v>1</v>
      </c>
      <c r="CE37" s="33">
        <v>1</v>
      </c>
      <c r="CF37" s="33">
        <v>1</v>
      </c>
      <c r="CG37" s="33">
        <v>1</v>
      </c>
      <c r="CH37" s="33">
        <v>1</v>
      </c>
      <c r="CI37" s="33">
        <v>1</v>
      </c>
      <c r="CJ37" s="33">
        <v>1</v>
      </c>
      <c r="CK37" s="33">
        <v>1</v>
      </c>
      <c r="CL37" s="33">
        <v>1</v>
      </c>
      <c r="CM37" s="33">
        <v>1</v>
      </c>
      <c r="CN37" s="33">
        <v>2</v>
      </c>
      <c r="CO37" s="33">
        <v>1</v>
      </c>
      <c r="CP37" s="33">
        <v>1</v>
      </c>
      <c r="CQ37" s="33">
        <v>1</v>
      </c>
    </row>
    <row r="38" spans="1:95">
      <c r="A38" s="28">
        <v>5</v>
      </c>
      <c r="B38" s="15">
        <v>1</v>
      </c>
      <c r="C38" s="15">
        <v>7</v>
      </c>
      <c r="D38" s="29">
        <v>40876</v>
      </c>
      <c r="E38" s="34">
        <v>2</v>
      </c>
      <c r="F38" s="15">
        <v>1988</v>
      </c>
      <c r="G38" s="31">
        <v>4</v>
      </c>
      <c r="H38" s="15">
        <v>2</v>
      </c>
      <c r="I38" s="31">
        <v>1</v>
      </c>
      <c r="J38" s="31">
        <v>0</v>
      </c>
      <c r="K38" s="31">
        <v>2</v>
      </c>
      <c r="L38" s="31">
        <v>0</v>
      </c>
      <c r="M38" s="31">
        <v>2</v>
      </c>
      <c r="N38" s="32">
        <v>3</v>
      </c>
      <c r="O38" s="15">
        <v>5</v>
      </c>
      <c r="P38" s="15">
        <v>1</v>
      </c>
      <c r="Q38" s="15">
        <v>4</v>
      </c>
      <c r="R38" s="15">
        <v>0</v>
      </c>
      <c r="S38" s="15">
        <v>1</v>
      </c>
      <c r="T38" s="15">
        <v>0</v>
      </c>
      <c r="U38" s="15">
        <v>2</v>
      </c>
      <c r="V38" s="15">
        <v>2</v>
      </c>
      <c r="W38" s="15">
        <v>1</v>
      </c>
      <c r="X38" s="15">
        <v>0</v>
      </c>
      <c r="Y38" s="15">
        <v>0</v>
      </c>
      <c r="Z38" s="15">
        <v>0</v>
      </c>
      <c r="AA38" s="15">
        <v>1</v>
      </c>
      <c r="AB38" s="32">
        <v>2</v>
      </c>
      <c r="AC38" s="32">
        <v>3</v>
      </c>
      <c r="AD38" s="32">
        <v>3</v>
      </c>
      <c r="AE38" s="32">
        <v>3</v>
      </c>
      <c r="AF38" s="32">
        <v>3</v>
      </c>
      <c r="AG38" s="32">
        <v>3</v>
      </c>
      <c r="AH38" s="15"/>
      <c r="AI38" s="15"/>
      <c r="AJ38" s="15"/>
      <c r="AK38" s="32">
        <f t="shared" si="9"/>
        <v>0</v>
      </c>
      <c r="AL38" s="32">
        <f t="shared" si="10"/>
        <v>1</v>
      </c>
      <c r="AM38" s="32">
        <f t="shared" si="11"/>
        <v>5</v>
      </c>
      <c r="AN38" s="32">
        <f t="shared" si="12"/>
        <v>0</v>
      </c>
      <c r="AO38" s="32">
        <v>0</v>
      </c>
      <c r="AP38" s="32">
        <v>0</v>
      </c>
      <c r="AQ38" s="32">
        <v>0</v>
      </c>
      <c r="AR38" s="32">
        <v>1</v>
      </c>
      <c r="AS38" s="32">
        <v>0</v>
      </c>
      <c r="AT38" s="32">
        <v>0</v>
      </c>
      <c r="AU38" s="32">
        <v>0</v>
      </c>
      <c r="AV38" s="32"/>
      <c r="AW38" s="32"/>
      <c r="AX38" s="32">
        <v>2</v>
      </c>
      <c r="AY38" s="32">
        <v>2</v>
      </c>
      <c r="AZ38" s="32">
        <v>2</v>
      </c>
      <c r="BA38" s="32">
        <v>3</v>
      </c>
      <c r="BB38" s="32">
        <v>2</v>
      </c>
      <c r="BC38" s="32">
        <v>3</v>
      </c>
      <c r="BD38" s="15"/>
      <c r="BE38" s="15"/>
      <c r="BF38" s="15"/>
      <c r="BG38" s="32">
        <f t="shared" si="13"/>
        <v>0</v>
      </c>
      <c r="BH38" s="32">
        <f t="shared" si="14"/>
        <v>4</v>
      </c>
      <c r="BI38" s="32">
        <f t="shared" si="15"/>
        <v>2</v>
      </c>
      <c r="BJ38" s="32">
        <f t="shared" si="16"/>
        <v>0</v>
      </c>
      <c r="BK38" s="32">
        <f t="shared" si="17"/>
        <v>0</v>
      </c>
      <c r="BL38" s="32">
        <f t="shared" si="18"/>
        <v>0</v>
      </c>
      <c r="BM38" s="32">
        <f t="shared" si="19"/>
        <v>0</v>
      </c>
      <c r="BN38" s="32">
        <f t="shared" si="20"/>
        <v>1</v>
      </c>
      <c r="BO38" s="32">
        <f t="shared" si="21"/>
        <v>0</v>
      </c>
      <c r="BP38" s="32">
        <f t="shared" si="22"/>
        <v>1</v>
      </c>
      <c r="BQ38" s="32">
        <f t="shared" si="23"/>
        <v>0</v>
      </c>
      <c r="BR38" s="32">
        <f t="shared" si="24"/>
        <v>0</v>
      </c>
      <c r="BS38" s="32">
        <f t="shared" si="25"/>
        <v>0</v>
      </c>
      <c r="BT38" s="15">
        <f>SUM(Raw!AW32:AW38)</f>
        <v>0</v>
      </c>
      <c r="BU38" s="15">
        <f>SUM(Raw!BD32:BD38)</f>
        <v>0</v>
      </c>
      <c r="BV38" s="15">
        <f>SUM(Raw!BJ32:BJ38)</f>
        <v>0</v>
      </c>
      <c r="BW38" s="15">
        <f>SUM(Raw!BO32:BO38)</f>
        <v>0</v>
      </c>
      <c r="BX38" s="15">
        <f>SUM(Raw!BS32:BS38)</f>
        <v>0</v>
      </c>
      <c r="BY38" s="15">
        <f>SUM(Raw!BV32:BV38)</f>
        <v>0</v>
      </c>
      <c r="BZ38" s="15"/>
      <c r="CA38" s="15"/>
      <c r="CB38" s="15"/>
      <c r="CC38" s="33">
        <v>2</v>
      </c>
      <c r="CD38" s="33">
        <v>2</v>
      </c>
      <c r="CE38" s="33">
        <v>2</v>
      </c>
      <c r="CF38" s="33">
        <v>2</v>
      </c>
      <c r="CG38" s="33">
        <v>1</v>
      </c>
      <c r="CH38" s="33">
        <v>2</v>
      </c>
      <c r="CI38" s="33">
        <v>1</v>
      </c>
      <c r="CJ38" s="33">
        <v>2</v>
      </c>
      <c r="CK38" s="33">
        <v>2</v>
      </c>
      <c r="CL38" s="33">
        <v>1</v>
      </c>
      <c r="CM38" s="33">
        <v>1</v>
      </c>
      <c r="CN38" s="33">
        <v>2</v>
      </c>
      <c r="CO38" s="33">
        <v>1</v>
      </c>
      <c r="CP38" s="33">
        <v>1</v>
      </c>
      <c r="CQ38" s="33">
        <v>2</v>
      </c>
    </row>
    <row r="39" spans="1:95">
      <c r="A39" s="4">
        <v>1</v>
      </c>
      <c r="B39" s="15">
        <v>2</v>
      </c>
      <c r="C39" s="15">
        <v>1</v>
      </c>
      <c r="D39" s="29">
        <v>40876</v>
      </c>
      <c r="E39" s="30">
        <v>1</v>
      </c>
      <c r="F39" s="15">
        <v>1989</v>
      </c>
      <c r="G39" s="31">
        <v>3</v>
      </c>
      <c r="H39" s="31">
        <v>1</v>
      </c>
      <c r="I39" s="31">
        <v>0</v>
      </c>
      <c r="J39" s="31">
        <v>0</v>
      </c>
      <c r="K39" s="31">
        <v>2</v>
      </c>
      <c r="L39" s="31">
        <v>2</v>
      </c>
      <c r="M39" s="31">
        <v>3</v>
      </c>
      <c r="N39" s="32">
        <v>0</v>
      </c>
      <c r="O39" s="15">
        <v>4</v>
      </c>
      <c r="P39" s="15">
        <v>0</v>
      </c>
      <c r="Q39" s="15">
        <v>13</v>
      </c>
      <c r="R39" s="15">
        <v>4</v>
      </c>
      <c r="S39" s="15">
        <v>0</v>
      </c>
      <c r="T39" s="15">
        <v>2</v>
      </c>
      <c r="U39" s="15">
        <v>1</v>
      </c>
      <c r="V39" s="15">
        <v>0</v>
      </c>
      <c r="W39" s="15">
        <v>1</v>
      </c>
      <c r="X39" s="15">
        <v>5</v>
      </c>
      <c r="Y39" s="15">
        <v>5</v>
      </c>
      <c r="Z39" s="15">
        <v>5</v>
      </c>
      <c r="AA39" s="15">
        <v>0</v>
      </c>
      <c r="AB39" s="15"/>
      <c r="AC39" s="32">
        <v>4</v>
      </c>
      <c r="AD39" s="15"/>
      <c r="AE39" s="32">
        <v>4</v>
      </c>
      <c r="AF39" s="32">
        <v>3</v>
      </c>
      <c r="AG39" s="32">
        <v>4</v>
      </c>
      <c r="AH39" s="32">
        <v>3</v>
      </c>
      <c r="AI39" s="32">
        <v>3</v>
      </c>
      <c r="AJ39" s="32">
        <v>4</v>
      </c>
      <c r="AK39" s="32">
        <f t="shared" si="9"/>
        <v>0</v>
      </c>
      <c r="AL39" s="32">
        <f t="shared" si="10"/>
        <v>0</v>
      </c>
      <c r="AM39" s="32">
        <f t="shared" si="11"/>
        <v>3</v>
      </c>
      <c r="AN39" s="32">
        <f t="shared" si="12"/>
        <v>4</v>
      </c>
      <c r="AO39" s="32">
        <v>0</v>
      </c>
      <c r="AP39" s="32">
        <v>1</v>
      </c>
      <c r="AQ39" s="32"/>
      <c r="AR39" s="32">
        <v>1</v>
      </c>
      <c r="AS39" s="32">
        <v>1</v>
      </c>
      <c r="AT39" s="32">
        <v>1</v>
      </c>
      <c r="AU39" s="32">
        <v>1</v>
      </c>
      <c r="AV39" s="32">
        <v>1</v>
      </c>
      <c r="AW39" s="32"/>
      <c r="AX39" s="15"/>
      <c r="AY39" s="32">
        <v>4</v>
      </c>
      <c r="AZ39" s="15"/>
      <c r="BA39" s="32">
        <v>4</v>
      </c>
      <c r="BB39" s="32">
        <v>3</v>
      </c>
      <c r="BC39" s="32">
        <v>4</v>
      </c>
      <c r="BD39" s="32">
        <v>3</v>
      </c>
      <c r="BE39" s="32">
        <v>3</v>
      </c>
      <c r="BF39" s="32">
        <v>4</v>
      </c>
      <c r="BG39" s="32">
        <f t="shared" si="13"/>
        <v>0</v>
      </c>
      <c r="BH39" s="32">
        <f t="shared" si="14"/>
        <v>0</v>
      </c>
      <c r="BI39" s="32">
        <f t="shared" si="15"/>
        <v>3</v>
      </c>
      <c r="BJ39" s="32">
        <f t="shared" si="16"/>
        <v>4</v>
      </c>
      <c r="BK39" s="32">
        <f t="shared" si="17"/>
        <v>0</v>
      </c>
      <c r="BL39" s="32">
        <f t="shared" si="18"/>
        <v>1</v>
      </c>
      <c r="BM39" s="32">
        <f t="shared" si="19"/>
        <v>0</v>
      </c>
      <c r="BN39" s="32">
        <f t="shared" si="20"/>
        <v>1</v>
      </c>
      <c r="BO39" s="32">
        <f t="shared" si="21"/>
        <v>1</v>
      </c>
      <c r="BP39" s="32">
        <f t="shared" si="22"/>
        <v>1</v>
      </c>
      <c r="BQ39" s="32">
        <f t="shared" si="23"/>
        <v>1</v>
      </c>
      <c r="BR39" s="32">
        <f t="shared" si="24"/>
        <v>1</v>
      </c>
      <c r="BS39" s="32">
        <f t="shared" si="25"/>
        <v>1</v>
      </c>
      <c r="BT39" s="15"/>
      <c r="BU39" s="15">
        <f>SUM(Raw!AR39:AR45)</f>
        <v>4</v>
      </c>
      <c r="BV39" s="15"/>
      <c r="BW39" s="15">
        <f>SUM(Raw!AT39:AT45)</f>
        <v>3</v>
      </c>
      <c r="BX39" s="15">
        <f>SUM(Raw!AU39:AU45)</f>
        <v>0</v>
      </c>
      <c r="BY39" s="15">
        <f>SUM(Raw!AV39:AV45)</f>
        <v>2</v>
      </c>
      <c r="BZ39" s="15">
        <f>SUM(Raw!AW39:AW45)</f>
        <v>1</v>
      </c>
      <c r="CA39" s="15">
        <f>SUM(Raw!AX39:AX45)</f>
        <v>1</v>
      </c>
      <c r="CB39" s="15">
        <f>SUM(Raw!AY39:AY45)</f>
        <v>2</v>
      </c>
      <c r="CC39" s="33">
        <v>2</v>
      </c>
      <c r="CD39" s="33">
        <v>2</v>
      </c>
      <c r="CE39" s="33">
        <v>2</v>
      </c>
      <c r="CF39" s="33">
        <v>2</v>
      </c>
      <c r="CG39" s="33">
        <v>2</v>
      </c>
      <c r="CH39" s="33">
        <v>2</v>
      </c>
      <c r="CI39" s="33">
        <v>1</v>
      </c>
      <c r="CJ39" s="33">
        <v>2</v>
      </c>
      <c r="CK39" s="33">
        <v>2</v>
      </c>
      <c r="CL39" s="33">
        <v>1</v>
      </c>
      <c r="CM39" s="33">
        <v>2</v>
      </c>
      <c r="CN39" s="33">
        <v>2</v>
      </c>
      <c r="CO39" s="33">
        <v>1</v>
      </c>
      <c r="CP39" s="33">
        <v>2</v>
      </c>
      <c r="CQ39" s="33">
        <v>2</v>
      </c>
    </row>
    <row r="40" spans="1:95">
      <c r="A40" s="4">
        <v>1</v>
      </c>
      <c r="B40" s="15">
        <v>2</v>
      </c>
      <c r="C40" s="15">
        <v>2</v>
      </c>
      <c r="D40" s="29">
        <v>40876</v>
      </c>
      <c r="E40" s="30">
        <v>1</v>
      </c>
      <c r="F40" s="15">
        <v>1989</v>
      </c>
      <c r="G40" s="31">
        <v>3</v>
      </c>
      <c r="H40" s="31">
        <v>1</v>
      </c>
      <c r="I40" s="31">
        <v>1</v>
      </c>
      <c r="J40" s="31">
        <v>0</v>
      </c>
      <c r="K40" s="31">
        <v>0</v>
      </c>
      <c r="L40" s="31">
        <v>0</v>
      </c>
      <c r="M40" s="31">
        <v>3</v>
      </c>
      <c r="N40" s="32">
        <v>0</v>
      </c>
      <c r="O40" s="15">
        <v>4</v>
      </c>
      <c r="P40" s="15">
        <v>1</v>
      </c>
      <c r="Q40" s="15">
        <v>12</v>
      </c>
      <c r="R40" s="15"/>
      <c r="S40" s="15">
        <v>0</v>
      </c>
      <c r="T40" s="15">
        <v>1</v>
      </c>
      <c r="U40" s="15">
        <v>0</v>
      </c>
      <c r="V40" s="15">
        <v>0</v>
      </c>
      <c r="W40" s="15">
        <v>0</v>
      </c>
      <c r="X40" s="15">
        <v>5</v>
      </c>
      <c r="Y40" s="15">
        <v>5</v>
      </c>
      <c r="Z40" s="15">
        <v>2</v>
      </c>
      <c r="AA40" s="15">
        <v>0</v>
      </c>
      <c r="AB40" s="32">
        <v>4</v>
      </c>
      <c r="AC40" s="15"/>
      <c r="AD40" s="15"/>
      <c r="AE40" s="32">
        <v>4</v>
      </c>
      <c r="AF40" s="32">
        <v>3</v>
      </c>
      <c r="AG40" s="32">
        <v>4</v>
      </c>
      <c r="AH40" s="32">
        <v>3</v>
      </c>
      <c r="AI40" s="32">
        <v>3</v>
      </c>
      <c r="AJ40" s="32">
        <v>4</v>
      </c>
      <c r="AK40" s="32">
        <f t="shared" si="9"/>
        <v>0</v>
      </c>
      <c r="AL40" s="32">
        <f t="shared" si="10"/>
        <v>0</v>
      </c>
      <c r="AM40" s="32">
        <f t="shared" si="11"/>
        <v>3</v>
      </c>
      <c r="AN40" s="32">
        <f t="shared" si="12"/>
        <v>4</v>
      </c>
      <c r="AO40" s="32">
        <v>1</v>
      </c>
      <c r="AP40" s="32">
        <v>0</v>
      </c>
      <c r="AQ40" s="32"/>
      <c r="AR40" s="32">
        <v>1</v>
      </c>
      <c r="AS40" s="32">
        <v>1</v>
      </c>
      <c r="AT40" s="32">
        <v>1</v>
      </c>
      <c r="AU40" s="32">
        <v>1</v>
      </c>
      <c r="AV40" s="32">
        <v>1</v>
      </c>
      <c r="AW40" s="32"/>
      <c r="AX40" s="32">
        <v>4</v>
      </c>
      <c r="AY40" s="15"/>
      <c r="AZ40" s="15"/>
      <c r="BA40" s="32">
        <v>4</v>
      </c>
      <c r="BB40" s="32">
        <v>3</v>
      </c>
      <c r="BC40" s="32">
        <v>4</v>
      </c>
      <c r="BD40" s="32">
        <v>3</v>
      </c>
      <c r="BE40" s="32">
        <v>3</v>
      </c>
      <c r="BF40" s="32">
        <v>4</v>
      </c>
      <c r="BG40" s="32">
        <f t="shared" si="13"/>
        <v>0</v>
      </c>
      <c r="BH40" s="32">
        <f t="shared" si="14"/>
        <v>0</v>
      </c>
      <c r="BI40" s="32">
        <f t="shared" si="15"/>
        <v>3</v>
      </c>
      <c r="BJ40" s="32">
        <f t="shared" si="16"/>
        <v>4</v>
      </c>
      <c r="BK40" s="32">
        <f t="shared" si="17"/>
        <v>1</v>
      </c>
      <c r="BL40" s="32">
        <f t="shared" si="18"/>
        <v>0</v>
      </c>
      <c r="BM40" s="32">
        <f t="shared" si="19"/>
        <v>0</v>
      </c>
      <c r="BN40" s="32">
        <f t="shared" si="20"/>
        <v>1</v>
      </c>
      <c r="BO40" s="32">
        <f t="shared" si="21"/>
        <v>1</v>
      </c>
      <c r="BP40" s="32">
        <f t="shared" si="22"/>
        <v>1</v>
      </c>
      <c r="BQ40" s="32">
        <f t="shared" si="23"/>
        <v>1</v>
      </c>
      <c r="BR40" s="32">
        <f t="shared" si="24"/>
        <v>1</v>
      </c>
      <c r="BS40" s="32">
        <f t="shared" si="25"/>
        <v>1</v>
      </c>
      <c r="BT40" s="15">
        <f>SUM(Raw!AR39:AR45)</f>
        <v>4</v>
      </c>
      <c r="BU40" s="15"/>
      <c r="BV40" s="15"/>
      <c r="BW40" s="15">
        <f>SUM(Raw!BA39:BA45)</f>
        <v>3</v>
      </c>
      <c r="BX40" s="15">
        <f>SUM(Raw!BB39:BB45)</f>
        <v>1</v>
      </c>
      <c r="BY40" s="15">
        <f>SUM(Raw!BC39:BC45)</f>
        <v>2</v>
      </c>
      <c r="BZ40" s="15">
        <f>SUM(Raw!BD39:BD45)</f>
        <v>1</v>
      </c>
      <c r="CA40" s="15">
        <f>SUM(Raw!BE39:BE45)</f>
        <v>1</v>
      </c>
      <c r="CB40" s="15">
        <f>SUM(Raw!BF39:BF45)</f>
        <v>2</v>
      </c>
      <c r="CC40" s="33">
        <v>2</v>
      </c>
      <c r="CD40" s="33">
        <v>2</v>
      </c>
      <c r="CE40" s="33">
        <v>2</v>
      </c>
      <c r="CF40" s="33">
        <v>2</v>
      </c>
      <c r="CG40" s="33">
        <v>2</v>
      </c>
      <c r="CH40" s="33">
        <v>2</v>
      </c>
      <c r="CI40" s="33">
        <v>1</v>
      </c>
      <c r="CJ40" s="33">
        <v>2</v>
      </c>
      <c r="CK40" s="33">
        <v>2</v>
      </c>
      <c r="CL40" s="33">
        <v>1</v>
      </c>
      <c r="CM40" s="33">
        <v>2</v>
      </c>
      <c r="CN40" s="33">
        <v>2</v>
      </c>
      <c r="CO40" s="33">
        <v>0</v>
      </c>
      <c r="CP40" s="33">
        <v>2</v>
      </c>
      <c r="CQ40" s="33">
        <v>2</v>
      </c>
    </row>
    <row r="41" spans="1:95">
      <c r="A41" s="4">
        <v>1</v>
      </c>
      <c r="B41" s="15">
        <v>2</v>
      </c>
      <c r="C41" s="15">
        <v>4</v>
      </c>
      <c r="D41" s="29">
        <v>40876</v>
      </c>
      <c r="E41" s="30">
        <v>1</v>
      </c>
      <c r="F41" s="15">
        <v>1988</v>
      </c>
      <c r="G41" s="31">
        <v>3</v>
      </c>
      <c r="H41" s="31">
        <v>1</v>
      </c>
      <c r="I41" s="31">
        <v>0</v>
      </c>
      <c r="J41" s="31">
        <v>1</v>
      </c>
      <c r="K41" s="31">
        <v>2</v>
      </c>
      <c r="L41" s="31">
        <v>1</v>
      </c>
      <c r="M41" s="31">
        <v>3</v>
      </c>
      <c r="N41" s="32">
        <v>0</v>
      </c>
      <c r="O41" s="15">
        <v>1</v>
      </c>
      <c r="P41" s="15">
        <v>1</v>
      </c>
      <c r="Q41" s="15">
        <v>10</v>
      </c>
      <c r="R41" s="15">
        <v>4</v>
      </c>
      <c r="S41" s="15">
        <v>0</v>
      </c>
      <c r="T41" s="15">
        <v>4</v>
      </c>
      <c r="U41" s="15">
        <v>1</v>
      </c>
      <c r="V41" s="15">
        <v>0</v>
      </c>
      <c r="W41" s="15">
        <v>1</v>
      </c>
      <c r="X41" s="15">
        <v>5</v>
      </c>
      <c r="Y41" s="15">
        <v>5</v>
      </c>
      <c r="Z41" s="15">
        <v>3</v>
      </c>
      <c r="AA41" s="15">
        <v>2</v>
      </c>
      <c r="AB41" s="32">
        <v>4</v>
      </c>
      <c r="AC41" s="32">
        <v>4</v>
      </c>
      <c r="AD41" s="15"/>
      <c r="AE41" s="15"/>
      <c r="AF41" s="32">
        <v>4</v>
      </c>
      <c r="AG41" s="32">
        <v>3</v>
      </c>
      <c r="AH41" s="32">
        <v>2</v>
      </c>
      <c r="AI41" s="32">
        <v>3</v>
      </c>
      <c r="AJ41" s="32">
        <v>3</v>
      </c>
      <c r="AK41" s="32">
        <f t="shared" si="9"/>
        <v>0</v>
      </c>
      <c r="AL41" s="32">
        <f t="shared" si="10"/>
        <v>1</v>
      </c>
      <c r="AM41" s="32">
        <f t="shared" si="11"/>
        <v>3</v>
      </c>
      <c r="AN41" s="32">
        <f t="shared" si="12"/>
        <v>3</v>
      </c>
      <c r="AO41" s="32">
        <v>1</v>
      </c>
      <c r="AP41" s="32">
        <v>1</v>
      </c>
      <c r="AQ41" s="32"/>
      <c r="AR41" s="32">
        <v>0</v>
      </c>
      <c r="AS41" s="32">
        <v>1</v>
      </c>
      <c r="AT41" s="32">
        <v>1</v>
      </c>
      <c r="AU41" s="32">
        <v>0</v>
      </c>
      <c r="AV41" s="32">
        <v>1</v>
      </c>
      <c r="AW41" s="32"/>
      <c r="AX41" s="32">
        <v>4</v>
      </c>
      <c r="AY41" s="32">
        <v>4</v>
      </c>
      <c r="AZ41" s="15"/>
      <c r="BA41" s="15"/>
      <c r="BB41" s="32">
        <v>4</v>
      </c>
      <c r="BC41" s="32">
        <v>3</v>
      </c>
      <c r="BD41" s="32">
        <v>3</v>
      </c>
      <c r="BE41" s="32">
        <v>3</v>
      </c>
      <c r="BF41" s="32">
        <v>3</v>
      </c>
      <c r="BG41" s="32">
        <f t="shared" si="13"/>
        <v>0</v>
      </c>
      <c r="BH41" s="32">
        <f t="shared" si="14"/>
        <v>0</v>
      </c>
      <c r="BI41" s="32">
        <f t="shared" si="15"/>
        <v>4</v>
      </c>
      <c r="BJ41" s="32">
        <f t="shared" si="16"/>
        <v>3</v>
      </c>
      <c r="BK41" s="32">
        <f t="shared" si="17"/>
        <v>1</v>
      </c>
      <c r="BL41" s="32">
        <f t="shared" si="18"/>
        <v>1</v>
      </c>
      <c r="BM41" s="32">
        <f t="shared" si="19"/>
        <v>0</v>
      </c>
      <c r="BN41" s="32">
        <f t="shared" si="20"/>
        <v>0</v>
      </c>
      <c r="BO41" s="32">
        <f t="shared" si="21"/>
        <v>1</v>
      </c>
      <c r="BP41" s="32">
        <f t="shared" si="22"/>
        <v>1</v>
      </c>
      <c r="BQ41" s="32">
        <f t="shared" si="23"/>
        <v>0</v>
      </c>
      <c r="BR41" s="32">
        <f t="shared" si="24"/>
        <v>1</v>
      </c>
      <c r="BS41" s="32">
        <f t="shared" si="25"/>
        <v>1</v>
      </c>
      <c r="BT41" s="15">
        <f>SUM(Raw!AT39:AT45)</f>
        <v>3</v>
      </c>
      <c r="BU41" s="15">
        <f>SUM(Raw!BA39:BA45)</f>
        <v>3</v>
      </c>
      <c r="BV41" s="15"/>
      <c r="BW41" s="15"/>
      <c r="BX41" s="15">
        <f>SUM(Raw!BM39:BM45)</f>
        <v>1</v>
      </c>
      <c r="BY41" s="15">
        <f>SUM(Raw!BN39:BN45)</f>
        <v>2</v>
      </c>
      <c r="BZ41" s="15">
        <f>SUM(Raw!BO39:BO45)</f>
        <v>1</v>
      </c>
      <c r="CA41" s="15">
        <f>SUM(Raw!BP39:BP45)</f>
        <v>2</v>
      </c>
      <c r="CB41" s="15">
        <f>SUM(Raw!BQ39:BQ45)</f>
        <v>2</v>
      </c>
      <c r="CC41" s="33">
        <v>2</v>
      </c>
      <c r="CD41" s="33">
        <v>2</v>
      </c>
      <c r="CE41" s="33">
        <v>2</v>
      </c>
      <c r="CF41" s="33">
        <v>1</v>
      </c>
      <c r="CG41" s="33">
        <v>2</v>
      </c>
      <c r="CH41" s="33">
        <v>1</v>
      </c>
      <c r="CI41" s="33">
        <v>1</v>
      </c>
      <c r="CJ41" s="33">
        <v>2</v>
      </c>
      <c r="CK41" s="33">
        <v>2</v>
      </c>
      <c r="CL41" s="33">
        <v>1</v>
      </c>
      <c r="CM41" s="33">
        <v>2</v>
      </c>
      <c r="CN41" s="33">
        <v>1</v>
      </c>
      <c r="CO41" s="33">
        <v>0</v>
      </c>
      <c r="CP41" s="33">
        <v>1</v>
      </c>
      <c r="CQ41" s="33">
        <v>2</v>
      </c>
    </row>
    <row r="42" spans="1:95">
      <c r="A42" s="4">
        <v>1</v>
      </c>
      <c r="B42" s="15">
        <v>2</v>
      </c>
      <c r="C42" s="15">
        <v>5</v>
      </c>
      <c r="D42" s="29">
        <v>40883</v>
      </c>
      <c r="E42" s="30">
        <v>1</v>
      </c>
      <c r="F42" s="15">
        <v>1990</v>
      </c>
      <c r="G42" s="31">
        <v>3</v>
      </c>
      <c r="H42" s="15">
        <v>2</v>
      </c>
      <c r="I42" s="31">
        <v>1</v>
      </c>
      <c r="J42" s="31">
        <v>1</v>
      </c>
      <c r="K42" s="31">
        <v>2</v>
      </c>
      <c r="L42" s="31">
        <v>2</v>
      </c>
      <c r="M42" s="31">
        <v>0</v>
      </c>
      <c r="N42" s="32">
        <v>0</v>
      </c>
      <c r="O42" s="15">
        <v>5</v>
      </c>
      <c r="P42" s="15">
        <v>1</v>
      </c>
      <c r="Q42" s="15">
        <v>6</v>
      </c>
      <c r="R42" s="15">
        <v>6</v>
      </c>
      <c r="S42" s="15">
        <v>1</v>
      </c>
      <c r="T42" s="15">
        <v>1</v>
      </c>
      <c r="U42" s="15">
        <v>2</v>
      </c>
      <c r="V42" s="15">
        <v>0</v>
      </c>
      <c r="W42" s="15">
        <v>1</v>
      </c>
      <c r="X42" s="15">
        <v>1</v>
      </c>
      <c r="Y42" s="15">
        <v>1</v>
      </c>
      <c r="Z42" s="15">
        <v>2</v>
      </c>
      <c r="AA42" s="15">
        <v>0</v>
      </c>
      <c r="AB42" s="32">
        <v>3</v>
      </c>
      <c r="AC42" s="32">
        <v>3</v>
      </c>
      <c r="AD42" s="15"/>
      <c r="AE42" s="32">
        <v>4</v>
      </c>
      <c r="AF42" s="15"/>
      <c r="AG42" s="32">
        <v>1</v>
      </c>
      <c r="AH42" s="32">
        <v>2</v>
      </c>
      <c r="AI42" s="32">
        <v>3</v>
      </c>
      <c r="AJ42" s="32">
        <v>1</v>
      </c>
      <c r="AK42" s="32">
        <f t="shared" si="9"/>
        <v>2</v>
      </c>
      <c r="AL42" s="32">
        <f t="shared" si="10"/>
        <v>1</v>
      </c>
      <c r="AM42" s="32">
        <f t="shared" si="11"/>
        <v>3</v>
      </c>
      <c r="AN42" s="32">
        <f t="shared" si="12"/>
        <v>1</v>
      </c>
      <c r="AO42" s="32">
        <v>1</v>
      </c>
      <c r="AP42" s="32">
        <v>1</v>
      </c>
      <c r="AQ42" s="32"/>
      <c r="AR42" s="32">
        <v>1</v>
      </c>
      <c r="AS42" s="32">
        <v>0</v>
      </c>
      <c r="AT42" s="32">
        <v>0</v>
      </c>
      <c r="AU42" s="32">
        <v>0</v>
      </c>
      <c r="AV42" s="32">
        <v>0</v>
      </c>
      <c r="AW42" s="32"/>
      <c r="AX42" s="32">
        <v>3</v>
      </c>
      <c r="AY42" s="32">
        <v>2</v>
      </c>
      <c r="AZ42" s="15"/>
      <c r="BA42" s="32">
        <v>3</v>
      </c>
      <c r="BB42" s="15"/>
      <c r="BC42" s="32">
        <v>1</v>
      </c>
      <c r="BD42" s="32">
        <v>2</v>
      </c>
      <c r="BE42" s="32">
        <v>2</v>
      </c>
      <c r="BF42" s="32">
        <v>1</v>
      </c>
      <c r="BG42" s="32">
        <f t="shared" si="13"/>
        <v>2</v>
      </c>
      <c r="BH42" s="32">
        <f t="shared" si="14"/>
        <v>3</v>
      </c>
      <c r="BI42" s="32">
        <f t="shared" si="15"/>
        <v>2</v>
      </c>
      <c r="BJ42" s="32">
        <f t="shared" si="16"/>
        <v>0</v>
      </c>
      <c r="BK42" s="32">
        <f t="shared" si="17"/>
        <v>1</v>
      </c>
      <c r="BL42" s="32">
        <f t="shared" si="18"/>
        <v>0</v>
      </c>
      <c r="BM42" s="32">
        <f t="shared" si="19"/>
        <v>0</v>
      </c>
      <c r="BN42" s="32">
        <f t="shared" si="20"/>
        <v>1</v>
      </c>
      <c r="BO42" s="32">
        <f t="shared" si="21"/>
        <v>0</v>
      </c>
      <c r="BP42" s="32">
        <f t="shared" si="22"/>
        <v>0</v>
      </c>
      <c r="BQ42" s="32">
        <f t="shared" si="23"/>
        <v>0</v>
      </c>
      <c r="BR42" s="32">
        <f t="shared" si="24"/>
        <v>0</v>
      </c>
      <c r="BS42" s="32">
        <f t="shared" si="25"/>
        <v>0</v>
      </c>
      <c r="BT42" s="15">
        <f>SUM(Raw!AU39:AU45)</f>
        <v>0</v>
      </c>
      <c r="BU42" s="15">
        <f>SUM(Raw!BB39:BB45)</f>
        <v>1</v>
      </c>
      <c r="BV42" s="15"/>
      <c r="BW42" s="15">
        <f>SUM(Raw!BM39:BM45)</f>
        <v>1</v>
      </c>
      <c r="BX42" s="15"/>
      <c r="BY42" s="15">
        <f>SUM(Raw!BR39:BR45)</f>
        <v>0</v>
      </c>
      <c r="BZ42" s="15">
        <f>SUM(Raw!BS39:BS45)</f>
        <v>1</v>
      </c>
      <c r="CA42" s="15">
        <f>SUM(Raw!BT39:BT45)</f>
        <v>2</v>
      </c>
      <c r="CB42" s="15">
        <f>SUM(Raw!BU39:BU45)</f>
        <v>0</v>
      </c>
      <c r="CC42" s="33">
        <v>2</v>
      </c>
      <c r="CD42" s="33">
        <v>2</v>
      </c>
      <c r="CE42" s="33">
        <v>2</v>
      </c>
      <c r="CF42" s="33">
        <v>2</v>
      </c>
      <c r="CG42" s="33">
        <v>2</v>
      </c>
      <c r="CH42" s="33">
        <v>2</v>
      </c>
      <c r="CI42" s="33">
        <v>1</v>
      </c>
      <c r="CJ42" s="33">
        <v>2</v>
      </c>
      <c r="CK42" s="33">
        <v>2</v>
      </c>
      <c r="CL42" s="33">
        <v>1</v>
      </c>
      <c r="CM42" s="33">
        <v>2</v>
      </c>
      <c r="CN42" s="33">
        <v>2</v>
      </c>
      <c r="CO42" s="33">
        <v>1</v>
      </c>
      <c r="CP42" s="33">
        <v>2</v>
      </c>
      <c r="CQ42" s="33">
        <v>2</v>
      </c>
    </row>
    <row r="43" spans="1:95">
      <c r="A43" s="4">
        <v>1</v>
      </c>
      <c r="B43" s="15">
        <v>2</v>
      </c>
      <c r="C43" s="15">
        <v>6</v>
      </c>
      <c r="D43" s="29">
        <v>40892</v>
      </c>
      <c r="E43" s="30">
        <v>1</v>
      </c>
      <c r="F43" s="15">
        <v>1993</v>
      </c>
      <c r="G43" s="31">
        <v>6</v>
      </c>
      <c r="H43" s="31">
        <v>1</v>
      </c>
      <c r="I43" s="31">
        <v>0</v>
      </c>
      <c r="J43" s="31">
        <v>1</v>
      </c>
      <c r="K43" s="31">
        <v>2</v>
      </c>
      <c r="L43" s="31">
        <v>2</v>
      </c>
      <c r="M43" s="31">
        <v>3</v>
      </c>
      <c r="N43" s="32">
        <v>0</v>
      </c>
      <c r="O43" s="15">
        <v>0</v>
      </c>
      <c r="P43" s="15">
        <v>1</v>
      </c>
      <c r="Q43" s="15">
        <v>7</v>
      </c>
      <c r="R43" s="15">
        <v>8</v>
      </c>
      <c r="S43" s="15">
        <v>0</v>
      </c>
      <c r="T43" s="15">
        <v>1</v>
      </c>
      <c r="U43" s="15">
        <v>1</v>
      </c>
      <c r="V43" s="15">
        <v>0</v>
      </c>
      <c r="W43" s="15">
        <v>1</v>
      </c>
      <c r="X43" s="15">
        <v>2</v>
      </c>
      <c r="Y43" s="15">
        <v>2</v>
      </c>
      <c r="Z43" s="15">
        <v>1</v>
      </c>
      <c r="AA43" s="15">
        <v>0</v>
      </c>
      <c r="AB43" s="32">
        <v>4</v>
      </c>
      <c r="AC43" s="32">
        <v>4</v>
      </c>
      <c r="AD43" s="15"/>
      <c r="AE43" s="32">
        <v>4</v>
      </c>
      <c r="AF43" s="32">
        <v>2</v>
      </c>
      <c r="AG43" s="15"/>
      <c r="AH43" s="32">
        <v>3</v>
      </c>
      <c r="AI43" s="32">
        <v>4</v>
      </c>
      <c r="AJ43" s="32">
        <v>4</v>
      </c>
      <c r="AK43" s="32">
        <f t="shared" si="9"/>
        <v>0</v>
      </c>
      <c r="AL43" s="32">
        <f t="shared" si="10"/>
        <v>1</v>
      </c>
      <c r="AM43" s="32">
        <f t="shared" si="11"/>
        <v>1</v>
      </c>
      <c r="AN43" s="32">
        <f t="shared" si="12"/>
        <v>5</v>
      </c>
      <c r="AO43" s="32">
        <v>1</v>
      </c>
      <c r="AP43" s="32">
        <v>1</v>
      </c>
      <c r="AQ43" s="32"/>
      <c r="AR43" s="32">
        <v>1</v>
      </c>
      <c r="AS43" s="32">
        <v>0</v>
      </c>
      <c r="AT43" s="32">
        <v>0</v>
      </c>
      <c r="AU43" s="32">
        <v>1</v>
      </c>
      <c r="AV43" s="32">
        <v>1</v>
      </c>
      <c r="AW43" s="32"/>
      <c r="AX43" s="32">
        <v>4</v>
      </c>
      <c r="AY43" s="32">
        <v>4</v>
      </c>
      <c r="AZ43" s="15"/>
      <c r="BA43" s="32">
        <v>3</v>
      </c>
      <c r="BB43" s="32">
        <v>2</v>
      </c>
      <c r="BC43" s="15"/>
      <c r="BD43" s="32">
        <v>3</v>
      </c>
      <c r="BE43" s="32">
        <v>4</v>
      </c>
      <c r="BF43" s="32">
        <v>4</v>
      </c>
      <c r="BG43" s="32">
        <f t="shared" si="13"/>
        <v>0</v>
      </c>
      <c r="BH43" s="32">
        <f t="shared" si="14"/>
        <v>1</v>
      </c>
      <c r="BI43" s="32">
        <f t="shared" si="15"/>
        <v>2</v>
      </c>
      <c r="BJ43" s="32">
        <f t="shared" si="16"/>
        <v>4</v>
      </c>
      <c r="BK43" s="32">
        <f t="shared" si="17"/>
        <v>1</v>
      </c>
      <c r="BL43" s="32">
        <f t="shared" si="18"/>
        <v>1</v>
      </c>
      <c r="BM43" s="32">
        <f t="shared" si="19"/>
        <v>0</v>
      </c>
      <c r="BN43" s="32">
        <f t="shared" si="20"/>
        <v>1</v>
      </c>
      <c r="BO43" s="32">
        <f t="shared" si="21"/>
        <v>0</v>
      </c>
      <c r="BP43" s="32">
        <f t="shared" si="22"/>
        <v>0</v>
      </c>
      <c r="BQ43" s="32">
        <f t="shared" si="23"/>
        <v>1</v>
      </c>
      <c r="BR43" s="32">
        <f t="shared" si="24"/>
        <v>1</v>
      </c>
      <c r="BS43" s="32">
        <f t="shared" si="25"/>
        <v>1</v>
      </c>
      <c r="BT43" s="15">
        <f>SUM(Raw!AV39:AV45)</f>
        <v>2</v>
      </c>
      <c r="BU43" s="15">
        <f>SUM(Raw!BC39:BC45)</f>
        <v>2</v>
      </c>
      <c r="BV43" s="15"/>
      <c r="BW43" s="15">
        <f>SUM(Raw!BN39:BN45)</f>
        <v>2</v>
      </c>
      <c r="BX43" s="15">
        <f>SUM(Raw!BR39:BR45)</f>
        <v>0</v>
      </c>
      <c r="BY43" s="15"/>
      <c r="BZ43" s="15">
        <f>SUM(Raw!BV39:BV45)</f>
        <v>0</v>
      </c>
      <c r="CA43" s="15">
        <f>SUM(Raw!BW39:BW45)</f>
        <v>0</v>
      </c>
      <c r="CB43" s="15">
        <f>SUM(Raw!BX39:BX45)</f>
        <v>6</v>
      </c>
      <c r="CC43" s="33">
        <v>2</v>
      </c>
      <c r="CD43" s="33">
        <v>2</v>
      </c>
      <c r="CE43" s="33">
        <v>1</v>
      </c>
      <c r="CF43" s="33">
        <v>1</v>
      </c>
      <c r="CG43" s="33">
        <v>2</v>
      </c>
      <c r="CH43" s="33">
        <v>2</v>
      </c>
      <c r="CI43" s="33">
        <v>1</v>
      </c>
      <c r="CJ43" s="33">
        <v>1</v>
      </c>
      <c r="CK43" s="33">
        <v>2</v>
      </c>
      <c r="CL43" s="33">
        <v>0</v>
      </c>
      <c r="CM43" s="33">
        <v>1</v>
      </c>
      <c r="CN43" s="33">
        <v>1</v>
      </c>
      <c r="CO43" s="33">
        <v>0</v>
      </c>
      <c r="CP43" s="33">
        <v>1</v>
      </c>
      <c r="CQ43" s="33">
        <v>2</v>
      </c>
    </row>
    <row r="44" spans="1:95">
      <c r="A44" s="4">
        <v>1</v>
      </c>
      <c r="B44" s="15">
        <v>2</v>
      </c>
      <c r="C44" s="15">
        <v>7</v>
      </c>
      <c r="D44" s="29">
        <v>40876</v>
      </c>
      <c r="E44" s="30">
        <v>1</v>
      </c>
      <c r="F44" s="15">
        <v>1992</v>
      </c>
      <c r="G44" s="31">
        <v>6</v>
      </c>
      <c r="H44" s="15">
        <v>2</v>
      </c>
      <c r="I44" s="31">
        <v>0</v>
      </c>
      <c r="J44" s="31">
        <v>0</v>
      </c>
      <c r="K44" s="31">
        <v>1</v>
      </c>
      <c r="L44" s="31">
        <v>2</v>
      </c>
      <c r="M44" s="31">
        <v>0</v>
      </c>
      <c r="N44" s="32">
        <v>2</v>
      </c>
      <c r="O44" s="15">
        <v>6</v>
      </c>
      <c r="P44" s="15">
        <v>1</v>
      </c>
      <c r="Q44" s="15">
        <v>4</v>
      </c>
      <c r="R44" s="15">
        <v>0</v>
      </c>
      <c r="S44" s="15">
        <v>0</v>
      </c>
      <c r="T44" s="15">
        <v>1</v>
      </c>
      <c r="U44" s="15">
        <v>2</v>
      </c>
      <c r="V44" s="15">
        <v>2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32">
        <v>3</v>
      </c>
      <c r="AC44" s="32">
        <v>3</v>
      </c>
      <c r="AD44" s="15"/>
      <c r="AE44" s="32">
        <v>3</v>
      </c>
      <c r="AF44" s="32">
        <v>3</v>
      </c>
      <c r="AG44" s="32">
        <v>3</v>
      </c>
      <c r="AH44" s="15"/>
      <c r="AI44" s="32">
        <v>3</v>
      </c>
      <c r="AJ44" s="32">
        <v>2</v>
      </c>
      <c r="AK44" s="32">
        <f t="shared" si="9"/>
        <v>0</v>
      </c>
      <c r="AL44" s="32">
        <f t="shared" si="10"/>
        <v>1</v>
      </c>
      <c r="AM44" s="32">
        <f t="shared" si="11"/>
        <v>6</v>
      </c>
      <c r="AN44" s="32">
        <f t="shared" si="12"/>
        <v>0</v>
      </c>
      <c r="AO44" s="32">
        <v>1</v>
      </c>
      <c r="AP44" s="32">
        <v>1</v>
      </c>
      <c r="AQ44" s="32"/>
      <c r="AR44" s="32">
        <v>0</v>
      </c>
      <c r="AS44" s="32">
        <v>0</v>
      </c>
      <c r="AT44" s="32">
        <v>1</v>
      </c>
      <c r="AU44" s="32">
        <v>0</v>
      </c>
      <c r="AV44" s="32">
        <v>0</v>
      </c>
      <c r="AW44" s="32"/>
      <c r="AX44" s="32">
        <v>3</v>
      </c>
      <c r="AY44" s="32">
        <v>2</v>
      </c>
      <c r="AZ44" s="15"/>
      <c r="BA44" s="32">
        <v>3</v>
      </c>
      <c r="BB44" s="32">
        <v>3</v>
      </c>
      <c r="BC44" s="32">
        <v>2</v>
      </c>
      <c r="BD44" s="15"/>
      <c r="BE44" s="32">
        <v>2</v>
      </c>
      <c r="BF44" s="32">
        <v>2</v>
      </c>
      <c r="BG44" s="32">
        <f t="shared" si="13"/>
        <v>0</v>
      </c>
      <c r="BH44" s="32">
        <f t="shared" si="14"/>
        <v>4</v>
      </c>
      <c r="BI44" s="32">
        <f t="shared" si="15"/>
        <v>3</v>
      </c>
      <c r="BJ44" s="32">
        <f t="shared" si="16"/>
        <v>0</v>
      </c>
      <c r="BK44" s="32">
        <f t="shared" si="17"/>
        <v>1</v>
      </c>
      <c r="BL44" s="32">
        <f t="shared" si="18"/>
        <v>0</v>
      </c>
      <c r="BM44" s="32">
        <f t="shared" si="19"/>
        <v>0</v>
      </c>
      <c r="BN44" s="32">
        <f t="shared" si="20"/>
        <v>1</v>
      </c>
      <c r="BO44" s="32">
        <f t="shared" si="21"/>
        <v>1</v>
      </c>
      <c r="BP44" s="32">
        <f t="shared" si="22"/>
        <v>0</v>
      </c>
      <c r="BQ44" s="32">
        <f t="shared" si="23"/>
        <v>0</v>
      </c>
      <c r="BR44" s="32">
        <f t="shared" si="24"/>
        <v>0</v>
      </c>
      <c r="BS44" s="32">
        <f t="shared" si="25"/>
        <v>0</v>
      </c>
      <c r="BT44" s="15">
        <f>SUM(Raw!AW39:AW45)</f>
        <v>1</v>
      </c>
      <c r="BU44" s="15">
        <f>SUM(Raw!BD39:BD45)</f>
        <v>1</v>
      </c>
      <c r="BV44" s="15"/>
      <c r="BW44" s="15">
        <f>SUM(Raw!BO39:BO45)</f>
        <v>1</v>
      </c>
      <c r="BX44" s="15">
        <f>SUM(Raw!BS39:BS45)</f>
        <v>1</v>
      </c>
      <c r="BY44" s="15">
        <f>SUM(Raw!BV39:BV45)</f>
        <v>0</v>
      </c>
      <c r="BZ44" s="15"/>
      <c r="CA44" s="15">
        <f>SUM(Raw!BW39:BW45)</f>
        <v>0</v>
      </c>
      <c r="CB44" s="15">
        <f>SUM(Raw!BX39:BX45)</f>
        <v>6</v>
      </c>
      <c r="CC44" s="33">
        <v>2</v>
      </c>
      <c r="CD44" s="33">
        <v>2</v>
      </c>
      <c r="CE44" s="33">
        <v>1</v>
      </c>
      <c r="CF44" s="33">
        <v>1</v>
      </c>
      <c r="CG44" s="33">
        <v>2</v>
      </c>
      <c r="CH44" s="33">
        <v>2</v>
      </c>
      <c r="CI44" s="33">
        <v>1</v>
      </c>
      <c r="CJ44" s="33">
        <v>2</v>
      </c>
      <c r="CK44" s="33">
        <v>1</v>
      </c>
      <c r="CL44" s="33">
        <v>1</v>
      </c>
      <c r="CM44" s="33">
        <v>1</v>
      </c>
      <c r="CN44" s="33">
        <v>2</v>
      </c>
      <c r="CO44" s="33">
        <v>1</v>
      </c>
      <c r="CP44" s="33">
        <v>2</v>
      </c>
      <c r="CQ44" s="33">
        <v>1</v>
      </c>
    </row>
    <row r="45" spans="1:95">
      <c r="A45" s="4">
        <v>1</v>
      </c>
      <c r="B45" s="15">
        <v>2</v>
      </c>
      <c r="C45" s="15">
        <v>8</v>
      </c>
      <c r="D45" s="29">
        <v>40876</v>
      </c>
      <c r="E45" s="30">
        <v>1</v>
      </c>
      <c r="F45" s="15">
        <v>1991</v>
      </c>
      <c r="G45" s="31">
        <v>1</v>
      </c>
      <c r="H45" s="31">
        <v>1</v>
      </c>
      <c r="I45" s="31">
        <v>0</v>
      </c>
      <c r="J45" s="31">
        <v>2</v>
      </c>
      <c r="K45" s="31">
        <v>2</v>
      </c>
      <c r="L45" s="31">
        <v>2</v>
      </c>
      <c r="M45" s="31">
        <v>0</v>
      </c>
      <c r="N45" s="32">
        <v>1</v>
      </c>
      <c r="O45" s="15">
        <v>0</v>
      </c>
      <c r="P45" s="15">
        <v>1</v>
      </c>
      <c r="Q45" s="15">
        <v>9</v>
      </c>
      <c r="R45" s="15">
        <v>4</v>
      </c>
      <c r="S45" s="15">
        <v>1</v>
      </c>
      <c r="T45" s="15">
        <v>0</v>
      </c>
      <c r="U45" s="15">
        <v>2</v>
      </c>
      <c r="V45" s="15">
        <v>2</v>
      </c>
      <c r="W45" s="15">
        <v>1</v>
      </c>
      <c r="X45" s="15">
        <v>3</v>
      </c>
      <c r="Y45" s="15">
        <v>1</v>
      </c>
      <c r="Z45" s="15">
        <v>4</v>
      </c>
      <c r="AA45" s="15">
        <v>2</v>
      </c>
      <c r="AB45" s="32">
        <v>4</v>
      </c>
      <c r="AC45" s="32">
        <v>3</v>
      </c>
      <c r="AD45" s="15"/>
      <c r="AE45" s="32">
        <v>4</v>
      </c>
      <c r="AF45" s="32">
        <v>2</v>
      </c>
      <c r="AG45" s="32">
        <v>4</v>
      </c>
      <c r="AH45" s="32">
        <v>2</v>
      </c>
      <c r="AI45" s="15"/>
      <c r="AJ45" s="32">
        <v>3</v>
      </c>
      <c r="AK45" s="32">
        <f t="shared" si="9"/>
        <v>0</v>
      </c>
      <c r="AL45" s="32">
        <f t="shared" si="10"/>
        <v>2</v>
      </c>
      <c r="AM45" s="32">
        <f t="shared" si="11"/>
        <v>2</v>
      </c>
      <c r="AN45" s="32">
        <f t="shared" si="12"/>
        <v>3</v>
      </c>
      <c r="AO45" s="32">
        <v>1</v>
      </c>
      <c r="AP45" s="32">
        <v>1</v>
      </c>
      <c r="AQ45" s="32"/>
      <c r="AR45" s="32">
        <v>1</v>
      </c>
      <c r="AS45" s="32">
        <v>0</v>
      </c>
      <c r="AT45" s="32">
        <v>1</v>
      </c>
      <c r="AU45" s="32">
        <v>0</v>
      </c>
      <c r="AV45" s="32">
        <v>0</v>
      </c>
      <c r="AW45" s="32"/>
      <c r="AX45" s="32">
        <v>4</v>
      </c>
      <c r="AY45" s="32">
        <v>2</v>
      </c>
      <c r="AZ45" s="15"/>
      <c r="BA45" s="32">
        <v>4</v>
      </c>
      <c r="BB45" s="32">
        <v>2</v>
      </c>
      <c r="BC45" s="32">
        <v>4</v>
      </c>
      <c r="BD45" s="32">
        <v>2</v>
      </c>
      <c r="BE45" s="15"/>
      <c r="BF45" s="32">
        <v>4</v>
      </c>
      <c r="BG45" s="32">
        <f t="shared" si="13"/>
        <v>0</v>
      </c>
      <c r="BH45" s="32">
        <f t="shared" si="14"/>
        <v>3</v>
      </c>
      <c r="BI45" s="32">
        <f t="shared" si="15"/>
        <v>0</v>
      </c>
      <c r="BJ45" s="32">
        <f t="shared" si="16"/>
        <v>4</v>
      </c>
      <c r="BK45" s="32">
        <f t="shared" si="17"/>
        <v>1</v>
      </c>
      <c r="BL45" s="32">
        <f t="shared" si="18"/>
        <v>0</v>
      </c>
      <c r="BM45" s="32">
        <f t="shared" si="19"/>
        <v>0</v>
      </c>
      <c r="BN45" s="32">
        <f t="shared" si="20"/>
        <v>1</v>
      </c>
      <c r="BO45" s="32">
        <f t="shared" si="21"/>
        <v>0</v>
      </c>
      <c r="BP45" s="32">
        <f t="shared" si="22"/>
        <v>1</v>
      </c>
      <c r="BQ45" s="32">
        <f t="shared" si="23"/>
        <v>0</v>
      </c>
      <c r="BR45" s="32">
        <f t="shared" si="24"/>
        <v>0</v>
      </c>
      <c r="BS45" s="32">
        <f t="shared" si="25"/>
        <v>1</v>
      </c>
      <c r="BT45" s="15">
        <f>SUM(Raw!AX39:AX45)</f>
        <v>1</v>
      </c>
      <c r="BU45" s="15">
        <f>SUM(Raw!BE39:BE45)</f>
        <v>1</v>
      </c>
      <c r="BV45" s="15"/>
      <c r="BW45" s="15">
        <f>SUM(Raw!BP39:BP45)</f>
        <v>2</v>
      </c>
      <c r="BX45" s="15">
        <f>SUM(Raw!BT39:BT45)</f>
        <v>2</v>
      </c>
      <c r="BY45" s="15">
        <f>SUM(Raw!BW39:BW45)</f>
        <v>0</v>
      </c>
      <c r="BZ45" s="15">
        <f>SUM(Raw!BY39:BY45)</f>
        <v>0</v>
      </c>
      <c r="CA45" s="15"/>
      <c r="CB45" s="15">
        <f>SUM(Raw!CA40:CA46)</f>
        <v>0</v>
      </c>
      <c r="CC45" s="33">
        <v>1</v>
      </c>
      <c r="CD45" s="33">
        <v>1</v>
      </c>
      <c r="CE45" s="33">
        <v>1</v>
      </c>
      <c r="CF45" s="33">
        <v>2</v>
      </c>
      <c r="CG45" s="33">
        <v>1</v>
      </c>
      <c r="CH45" s="33">
        <v>1</v>
      </c>
      <c r="CI45" s="33">
        <v>0</v>
      </c>
      <c r="CJ45" s="33">
        <v>2</v>
      </c>
      <c r="CK45" s="33">
        <v>2</v>
      </c>
      <c r="CL45" s="33">
        <v>1</v>
      </c>
      <c r="CM45" s="33">
        <v>2</v>
      </c>
      <c r="CN45" s="33">
        <v>1</v>
      </c>
      <c r="CO45" s="33">
        <v>1</v>
      </c>
      <c r="CP45" s="33">
        <v>2</v>
      </c>
      <c r="CQ45" s="33">
        <v>1</v>
      </c>
    </row>
    <row r="46" spans="1:95">
      <c r="A46" s="4">
        <v>2</v>
      </c>
      <c r="B46" s="15">
        <v>2</v>
      </c>
      <c r="C46" s="15">
        <v>1</v>
      </c>
      <c r="D46" s="29">
        <v>40876</v>
      </c>
      <c r="E46" s="30">
        <v>1</v>
      </c>
      <c r="F46" s="15">
        <v>1988</v>
      </c>
      <c r="G46" s="31">
        <v>2</v>
      </c>
      <c r="H46" s="31">
        <v>1</v>
      </c>
      <c r="I46" s="31">
        <v>0</v>
      </c>
      <c r="J46" s="31">
        <v>2</v>
      </c>
      <c r="K46" s="31">
        <v>1</v>
      </c>
      <c r="L46" s="31">
        <v>2</v>
      </c>
      <c r="M46" s="32">
        <v>5</v>
      </c>
      <c r="N46" s="32">
        <v>2</v>
      </c>
      <c r="O46" s="15">
        <v>2</v>
      </c>
      <c r="P46" s="15">
        <v>1</v>
      </c>
      <c r="Q46" s="15">
        <v>5</v>
      </c>
      <c r="R46" s="15">
        <v>0</v>
      </c>
      <c r="S46" s="15">
        <v>1</v>
      </c>
      <c r="T46" s="15">
        <v>0</v>
      </c>
      <c r="U46" s="15">
        <v>1</v>
      </c>
      <c r="V46" s="15">
        <v>2</v>
      </c>
      <c r="W46" s="15">
        <v>1</v>
      </c>
      <c r="X46" s="15">
        <v>3</v>
      </c>
      <c r="Y46" s="15">
        <v>1</v>
      </c>
      <c r="Z46" s="15">
        <v>2</v>
      </c>
      <c r="AA46" s="15">
        <v>0</v>
      </c>
      <c r="AB46" s="15"/>
      <c r="AC46" s="32">
        <v>1</v>
      </c>
      <c r="AD46" s="32">
        <v>3</v>
      </c>
      <c r="AE46" s="32">
        <v>3</v>
      </c>
      <c r="AF46" s="32">
        <v>4</v>
      </c>
      <c r="AG46" s="32">
        <v>3</v>
      </c>
      <c r="AH46" s="32">
        <v>3</v>
      </c>
      <c r="AI46" s="32">
        <v>1</v>
      </c>
      <c r="AJ46" s="32">
        <v>4</v>
      </c>
      <c r="AK46" s="32">
        <f t="shared" si="9"/>
        <v>2</v>
      </c>
      <c r="AL46" s="32">
        <f t="shared" si="10"/>
        <v>0</v>
      </c>
      <c r="AM46" s="32">
        <f t="shared" si="11"/>
        <v>4</v>
      </c>
      <c r="AN46" s="32">
        <f t="shared" si="12"/>
        <v>2</v>
      </c>
      <c r="AO46" s="32">
        <v>0</v>
      </c>
      <c r="AP46" s="32">
        <v>0</v>
      </c>
      <c r="AQ46" s="32">
        <v>0</v>
      </c>
      <c r="AR46" s="32">
        <v>1</v>
      </c>
      <c r="AS46" s="32">
        <v>1</v>
      </c>
      <c r="AT46" s="32">
        <v>1</v>
      </c>
      <c r="AU46" s="32">
        <v>1</v>
      </c>
      <c r="AV46" s="32">
        <v>0</v>
      </c>
      <c r="AW46" s="32">
        <v>1</v>
      </c>
      <c r="AX46" s="15"/>
      <c r="AY46" s="32">
        <v>1</v>
      </c>
      <c r="AZ46" s="32">
        <v>3</v>
      </c>
      <c r="BA46" s="32">
        <v>3</v>
      </c>
      <c r="BB46" s="32">
        <v>4</v>
      </c>
      <c r="BC46" s="32">
        <v>3</v>
      </c>
      <c r="BD46" s="32">
        <v>3</v>
      </c>
      <c r="BE46" s="32">
        <v>1</v>
      </c>
      <c r="BF46" s="32">
        <v>4</v>
      </c>
      <c r="BG46" s="32">
        <f t="shared" si="13"/>
        <v>2</v>
      </c>
      <c r="BH46" s="32">
        <f t="shared" si="14"/>
        <v>0</v>
      </c>
      <c r="BI46" s="32">
        <f t="shared" si="15"/>
        <v>4</v>
      </c>
      <c r="BJ46" s="32">
        <f t="shared" si="16"/>
        <v>2</v>
      </c>
      <c r="BK46" s="32">
        <f t="shared" si="17"/>
        <v>0</v>
      </c>
      <c r="BL46" s="32">
        <f t="shared" si="18"/>
        <v>0</v>
      </c>
      <c r="BM46" s="32">
        <f t="shared" si="19"/>
        <v>1</v>
      </c>
      <c r="BN46" s="32">
        <f t="shared" si="20"/>
        <v>1</v>
      </c>
      <c r="BO46" s="32">
        <f t="shared" si="21"/>
        <v>1</v>
      </c>
      <c r="BP46" s="32">
        <f t="shared" si="22"/>
        <v>1</v>
      </c>
      <c r="BQ46" s="32">
        <f t="shared" si="23"/>
        <v>1</v>
      </c>
      <c r="BR46" s="32">
        <f t="shared" si="24"/>
        <v>0</v>
      </c>
      <c r="BS46" s="32">
        <f t="shared" si="25"/>
        <v>1</v>
      </c>
      <c r="BT46" s="15"/>
      <c r="BU46" s="15">
        <f>SUM(Raw!AR46:AR54)</f>
        <v>0</v>
      </c>
      <c r="BV46" s="15">
        <f>SUM(Raw!AS46:AS54)</f>
        <v>0</v>
      </c>
      <c r="BW46" s="15">
        <f>SUM(Raw!AT46:AT54)</f>
        <v>0</v>
      </c>
      <c r="BX46" s="15">
        <f>SUM(Raw!AU46:AU54)</f>
        <v>6</v>
      </c>
      <c r="BY46" s="15">
        <f>SUM(Raw!AV46:AV54)</f>
        <v>4</v>
      </c>
      <c r="BZ46" s="15">
        <f>SUM(Raw!AW46:AW54)</f>
        <v>2</v>
      </c>
      <c r="CA46" s="15">
        <f>SUM(Raw!AX46:AX54)</f>
        <v>0</v>
      </c>
      <c r="CB46" s="15">
        <f>SUM(Raw!AY46:AY54)</f>
        <v>6</v>
      </c>
      <c r="CC46" s="33">
        <v>1</v>
      </c>
      <c r="CD46" s="33">
        <v>2</v>
      </c>
      <c r="CE46" s="33">
        <v>1</v>
      </c>
      <c r="CF46" s="33">
        <v>1</v>
      </c>
      <c r="CG46" s="33">
        <v>1</v>
      </c>
      <c r="CH46" s="33">
        <v>1</v>
      </c>
      <c r="CI46" s="33">
        <v>1</v>
      </c>
      <c r="CJ46" s="33">
        <v>2</v>
      </c>
      <c r="CK46" s="33">
        <v>1</v>
      </c>
      <c r="CL46" s="33">
        <v>1</v>
      </c>
      <c r="CM46" s="33">
        <v>2</v>
      </c>
      <c r="CN46" s="33">
        <v>2</v>
      </c>
      <c r="CO46" s="33">
        <v>1</v>
      </c>
      <c r="CP46" s="33">
        <v>2</v>
      </c>
      <c r="CQ46" s="33">
        <v>2</v>
      </c>
    </row>
    <row r="47" spans="1:95">
      <c r="A47" s="4">
        <v>2</v>
      </c>
      <c r="B47" s="15">
        <v>2</v>
      </c>
      <c r="C47" s="15">
        <v>2</v>
      </c>
      <c r="D47" s="29">
        <v>40876</v>
      </c>
      <c r="E47" s="30">
        <v>1</v>
      </c>
      <c r="F47" s="15">
        <v>1992</v>
      </c>
      <c r="G47" s="31">
        <v>1</v>
      </c>
      <c r="H47" s="31">
        <v>1</v>
      </c>
      <c r="I47" s="31">
        <v>0</v>
      </c>
      <c r="J47" s="31">
        <v>1</v>
      </c>
      <c r="K47" s="31">
        <v>0</v>
      </c>
      <c r="L47" s="31">
        <v>1</v>
      </c>
      <c r="M47" s="15"/>
      <c r="N47" s="32">
        <v>2</v>
      </c>
      <c r="O47" s="15">
        <v>4</v>
      </c>
      <c r="P47" s="15">
        <v>0</v>
      </c>
      <c r="Q47" s="15">
        <v>4</v>
      </c>
      <c r="R47" s="15">
        <v>8</v>
      </c>
      <c r="S47" s="15">
        <v>0</v>
      </c>
      <c r="T47" s="15">
        <v>3</v>
      </c>
      <c r="U47" s="15">
        <v>1</v>
      </c>
      <c r="V47" s="15">
        <v>2</v>
      </c>
      <c r="W47" s="15">
        <v>1</v>
      </c>
      <c r="X47" s="15">
        <v>0</v>
      </c>
      <c r="Y47" s="15">
        <v>0</v>
      </c>
      <c r="Z47" s="15">
        <v>1</v>
      </c>
      <c r="AA47" s="15">
        <v>2</v>
      </c>
      <c r="AB47" s="32">
        <v>2</v>
      </c>
      <c r="AC47" s="15"/>
      <c r="AD47" s="32">
        <v>3</v>
      </c>
      <c r="AE47" s="32">
        <v>3</v>
      </c>
      <c r="AF47" s="32">
        <v>3</v>
      </c>
      <c r="AG47" s="32">
        <v>3</v>
      </c>
      <c r="AH47" s="32">
        <v>2</v>
      </c>
      <c r="AI47" s="32">
        <v>3</v>
      </c>
      <c r="AJ47" s="32">
        <v>2</v>
      </c>
      <c r="AK47" s="32">
        <f t="shared" si="9"/>
        <v>0</v>
      </c>
      <c r="AL47" s="32">
        <f t="shared" si="10"/>
        <v>3</v>
      </c>
      <c r="AM47" s="32">
        <f t="shared" si="11"/>
        <v>5</v>
      </c>
      <c r="AN47" s="32">
        <f t="shared" si="12"/>
        <v>0</v>
      </c>
      <c r="AO47" s="32">
        <v>0</v>
      </c>
      <c r="AP47" s="32">
        <v>0</v>
      </c>
      <c r="AQ47" s="32">
        <v>1</v>
      </c>
      <c r="AR47" s="32">
        <v>1</v>
      </c>
      <c r="AS47" s="32">
        <v>0</v>
      </c>
      <c r="AT47" s="32">
        <v>0</v>
      </c>
      <c r="AU47" s="32">
        <v>0</v>
      </c>
      <c r="AV47" s="32">
        <v>1</v>
      </c>
      <c r="AW47" s="32">
        <v>0</v>
      </c>
      <c r="AX47" s="32">
        <v>2</v>
      </c>
      <c r="AY47" s="15"/>
      <c r="AZ47" s="32">
        <v>3</v>
      </c>
      <c r="BA47" s="32">
        <v>3</v>
      </c>
      <c r="BB47" s="32">
        <v>3</v>
      </c>
      <c r="BC47" s="32">
        <v>2</v>
      </c>
      <c r="BD47" s="32">
        <v>2</v>
      </c>
      <c r="BE47" s="32">
        <v>3</v>
      </c>
      <c r="BF47" s="32">
        <v>2</v>
      </c>
      <c r="BG47" s="32">
        <f t="shared" si="13"/>
        <v>0</v>
      </c>
      <c r="BH47" s="32">
        <f t="shared" si="14"/>
        <v>4</v>
      </c>
      <c r="BI47" s="32">
        <f t="shared" si="15"/>
        <v>4</v>
      </c>
      <c r="BJ47" s="32">
        <f t="shared" si="16"/>
        <v>0</v>
      </c>
      <c r="BK47" s="32">
        <f t="shared" si="17"/>
        <v>0</v>
      </c>
      <c r="BL47" s="32">
        <f t="shared" si="18"/>
        <v>0</v>
      </c>
      <c r="BM47" s="32">
        <f t="shared" si="19"/>
        <v>1</v>
      </c>
      <c r="BN47" s="32">
        <f t="shared" si="20"/>
        <v>1</v>
      </c>
      <c r="BO47" s="32">
        <f t="shared" si="21"/>
        <v>1</v>
      </c>
      <c r="BP47" s="32">
        <f t="shared" si="22"/>
        <v>0</v>
      </c>
      <c r="BQ47" s="32">
        <f t="shared" si="23"/>
        <v>0</v>
      </c>
      <c r="BR47" s="32">
        <f t="shared" si="24"/>
        <v>1</v>
      </c>
      <c r="BS47" s="32">
        <f t="shared" si="25"/>
        <v>0</v>
      </c>
      <c r="BT47" s="15">
        <f>SUM(Raw!AR46:AR54)</f>
        <v>0</v>
      </c>
      <c r="BU47" s="15"/>
      <c r="BV47" s="15">
        <f>SUM(Raw!AZ46:AZ54)</f>
        <v>2</v>
      </c>
      <c r="BW47" s="15">
        <f>SUM(Raw!BA46:BA54)</f>
        <v>3</v>
      </c>
      <c r="BX47" s="15">
        <f>SUM(Raw!BB46:BB54)</f>
        <v>0</v>
      </c>
      <c r="BY47" s="15">
        <f>SUM(Raw!BC46:BC54)</f>
        <v>0</v>
      </c>
      <c r="BZ47" s="15">
        <f>SUM(Raw!BD46:BD54)</f>
        <v>1</v>
      </c>
      <c r="CA47" s="15">
        <f>SUM(Raw!BE46:BE54)</f>
        <v>4</v>
      </c>
      <c r="CB47" s="15">
        <f>SUM(Raw!BF46:BF54)</f>
        <v>0</v>
      </c>
      <c r="CC47" s="33">
        <v>1</v>
      </c>
      <c r="CD47" s="33">
        <v>2</v>
      </c>
      <c r="CE47" s="33">
        <v>1</v>
      </c>
      <c r="CF47" s="33">
        <v>2</v>
      </c>
      <c r="CG47" s="33">
        <v>1</v>
      </c>
      <c r="CH47" s="33">
        <v>2</v>
      </c>
      <c r="CI47" s="33">
        <v>1</v>
      </c>
      <c r="CJ47" s="33">
        <v>1</v>
      </c>
      <c r="CK47" s="33">
        <v>2</v>
      </c>
      <c r="CL47" s="33">
        <v>1</v>
      </c>
      <c r="CM47" s="33">
        <v>1</v>
      </c>
      <c r="CN47" s="33">
        <v>2</v>
      </c>
      <c r="CO47" s="33">
        <v>1</v>
      </c>
      <c r="CP47" s="33">
        <v>1</v>
      </c>
      <c r="CQ47" s="33">
        <v>2</v>
      </c>
    </row>
    <row r="48" spans="1:95">
      <c r="A48" s="4">
        <v>2</v>
      </c>
      <c r="B48" s="15">
        <v>2</v>
      </c>
      <c r="C48" s="15">
        <v>3</v>
      </c>
      <c r="D48" s="29">
        <v>40876</v>
      </c>
      <c r="E48" s="30">
        <v>1</v>
      </c>
      <c r="F48" s="15">
        <v>1992</v>
      </c>
      <c r="G48" s="31">
        <v>1</v>
      </c>
      <c r="H48" s="15">
        <v>2</v>
      </c>
      <c r="I48" s="31">
        <v>0</v>
      </c>
      <c r="J48" s="31">
        <v>2</v>
      </c>
      <c r="K48" s="31">
        <v>1</v>
      </c>
      <c r="L48" s="31">
        <v>2</v>
      </c>
      <c r="M48" s="32">
        <v>4</v>
      </c>
      <c r="N48" s="32">
        <v>2</v>
      </c>
      <c r="O48" s="15">
        <v>6</v>
      </c>
      <c r="P48" s="15">
        <v>1</v>
      </c>
      <c r="Q48" s="15">
        <v>8</v>
      </c>
      <c r="R48" s="15">
        <v>2</v>
      </c>
      <c r="S48" s="15">
        <v>0</v>
      </c>
      <c r="T48" s="15">
        <v>1</v>
      </c>
      <c r="U48" s="15">
        <v>0</v>
      </c>
      <c r="V48" s="15">
        <v>2</v>
      </c>
      <c r="W48" s="15">
        <v>0</v>
      </c>
      <c r="X48" s="15">
        <v>0</v>
      </c>
      <c r="Y48" s="15">
        <v>0</v>
      </c>
      <c r="Z48" s="15">
        <v>2</v>
      </c>
      <c r="AA48" s="15">
        <v>0</v>
      </c>
      <c r="AB48" s="32">
        <v>2</v>
      </c>
      <c r="AC48" s="32">
        <v>3</v>
      </c>
      <c r="AD48" s="15"/>
      <c r="AE48" s="32">
        <v>4</v>
      </c>
      <c r="AF48" s="32">
        <v>2</v>
      </c>
      <c r="AG48" s="32">
        <v>1</v>
      </c>
      <c r="AH48" s="32">
        <v>2</v>
      </c>
      <c r="AI48" s="32">
        <v>4</v>
      </c>
      <c r="AJ48" s="32">
        <v>1</v>
      </c>
      <c r="AK48" s="32">
        <f t="shared" si="9"/>
        <v>2</v>
      </c>
      <c r="AL48" s="32">
        <f t="shared" si="10"/>
        <v>3</v>
      </c>
      <c r="AM48" s="32">
        <f t="shared" si="11"/>
        <v>1</v>
      </c>
      <c r="AN48" s="32">
        <f t="shared" si="12"/>
        <v>2</v>
      </c>
      <c r="AO48" s="32">
        <v>0</v>
      </c>
      <c r="AP48" s="32">
        <v>1</v>
      </c>
      <c r="AQ48" s="32">
        <v>0</v>
      </c>
      <c r="AR48" s="32">
        <v>1</v>
      </c>
      <c r="AS48" s="32">
        <v>0</v>
      </c>
      <c r="AT48" s="32">
        <v>0</v>
      </c>
      <c r="AU48" s="32">
        <v>0</v>
      </c>
      <c r="AV48" s="32">
        <v>1</v>
      </c>
      <c r="AW48" s="32">
        <v>0</v>
      </c>
      <c r="AX48" s="32">
        <v>2</v>
      </c>
      <c r="AY48" s="32">
        <v>3</v>
      </c>
      <c r="AZ48" s="15"/>
      <c r="BA48" s="32">
        <v>4</v>
      </c>
      <c r="BB48" s="32">
        <v>2</v>
      </c>
      <c r="BC48" s="32">
        <v>2</v>
      </c>
      <c r="BD48" s="32">
        <v>2</v>
      </c>
      <c r="BE48" s="32">
        <v>4</v>
      </c>
      <c r="BF48" s="32">
        <v>2</v>
      </c>
      <c r="BG48" s="32">
        <f t="shared" si="13"/>
        <v>0</v>
      </c>
      <c r="BH48" s="32">
        <f t="shared" si="14"/>
        <v>5</v>
      </c>
      <c r="BI48" s="32">
        <f t="shared" si="15"/>
        <v>1</v>
      </c>
      <c r="BJ48" s="32">
        <f t="shared" si="16"/>
        <v>2</v>
      </c>
      <c r="BK48" s="32">
        <f t="shared" si="17"/>
        <v>0</v>
      </c>
      <c r="BL48" s="32">
        <f t="shared" si="18"/>
        <v>1</v>
      </c>
      <c r="BM48" s="32">
        <f t="shared" si="19"/>
        <v>0</v>
      </c>
      <c r="BN48" s="32">
        <f t="shared" si="20"/>
        <v>1</v>
      </c>
      <c r="BO48" s="32">
        <f t="shared" si="21"/>
        <v>0</v>
      </c>
      <c r="BP48" s="32">
        <f t="shared" si="22"/>
        <v>0</v>
      </c>
      <c r="BQ48" s="32">
        <f t="shared" si="23"/>
        <v>0</v>
      </c>
      <c r="BR48" s="32">
        <f t="shared" si="24"/>
        <v>1</v>
      </c>
      <c r="BS48" s="32">
        <f t="shared" si="25"/>
        <v>0</v>
      </c>
      <c r="BT48" s="15">
        <f>SUM(Raw!AS46:AS54)</f>
        <v>0</v>
      </c>
      <c r="BU48" s="15">
        <f>SUM(Raw!AZ46:AZ54)</f>
        <v>2</v>
      </c>
      <c r="BV48" s="15"/>
      <c r="BW48" s="15">
        <f>SUM(Raw!BG46:BG53)</f>
        <v>4</v>
      </c>
      <c r="BX48" s="15">
        <f>SUM(Raw!BH46:BH53)</f>
        <v>0</v>
      </c>
      <c r="BY48" s="15">
        <f>SUM(Raw!BI46:BI53)</f>
        <v>0</v>
      </c>
      <c r="BZ48" s="15">
        <f>SUM(Raw!BJ46:BJ53)</f>
        <v>0</v>
      </c>
      <c r="CA48" s="15">
        <f>SUM(Raw!BK46:BK53)</f>
        <v>4</v>
      </c>
      <c r="CB48" s="15">
        <f>SUM(Raw!BL46:BL53)</f>
        <v>0</v>
      </c>
      <c r="CC48" s="33">
        <v>1</v>
      </c>
      <c r="CD48" s="33">
        <v>1</v>
      </c>
      <c r="CE48" s="33">
        <v>2</v>
      </c>
      <c r="CF48" s="33">
        <v>1</v>
      </c>
      <c r="CG48" s="33">
        <v>1</v>
      </c>
      <c r="CH48" s="33">
        <v>1</v>
      </c>
      <c r="CI48" s="33">
        <v>1</v>
      </c>
      <c r="CJ48" s="33">
        <v>2</v>
      </c>
      <c r="CK48" s="33">
        <v>2</v>
      </c>
      <c r="CL48" s="33">
        <v>1</v>
      </c>
      <c r="CM48" s="33">
        <v>2</v>
      </c>
      <c r="CN48" s="33">
        <v>1</v>
      </c>
      <c r="CO48" s="33">
        <v>0</v>
      </c>
      <c r="CP48" s="33">
        <v>2</v>
      </c>
      <c r="CQ48" s="33">
        <v>1</v>
      </c>
    </row>
    <row r="49" spans="1:95">
      <c r="A49" s="4">
        <v>2</v>
      </c>
      <c r="B49" s="15">
        <v>2</v>
      </c>
      <c r="C49" s="15">
        <v>4</v>
      </c>
      <c r="D49" s="29">
        <v>40876</v>
      </c>
      <c r="E49" s="30">
        <v>1</v>
      </c>
      <c r="F49" s="15">
        <v>1990</v>
      </c>
      <c r="G49" s="31">
        <v>1</v>
      </c>
      <c r="H49" s="15">
        <v>2</v>
      </c>
      <c r="I49" s="31">
        <v>1</v>
      </c>
      <c r="J49" s="31">
        <v>1</v>
      </c>
      <c r="K49" s="31">
        <v>2</v>
      </c>
      <c r="L49" s="31">
        <v>2</v>
      </c>
      <c r="M49" s="31">
        <v>0</v>
      </c>
      <c r="N49" s="32">
        <v>2</v>
      </c>
      <c r="O49" s="15">
        <v>5</v>
      </c>
      <c r="P49" s="15">
        <v>1</v>
      </c>
      <c r="Q49" s="15">
        <v>5</v>
      </c>
      <c r="R49" s="15">
        <v>3</v>
      </c>
      <c r="S49" s="15">
        <v>0</v>
      </c>
      <c r="T49" s="15">
        <v>3</v>
      </c>
      <c r="U49" s="15">
        <v>0</v>
      </c>
      <c r="V49" s="15">
        <v>2</v>
      </c>
      <c r="W49" s="15">
        <v>0</v>
      </c>
      <c r="X49" s="15">
        <v>0</v>
      </c>
      <c r="Y49" s="15">
        <v>0</v>
      </c>
      <c r="Z49" s="15">
        <v>3</v>
      </c>
      <c r="AA49" s="15">
        <v>0</v>
      </c>
      <c r="AB49" s="32">
        <v>3</v>
      </c>
      <c r="AC49" s="32">
        <v>4</v>
      </c>
      <c r="AD49" s="32">
        <v>4</v>
      </c>
      <c r="AE49" s="15"/>
      <c r="AF49" s="32">
        <v>4</v>
      </c>
      <c r="AG49" s="32">
        <v>3</v>
      </c>
      <c r="AH49" s="32">
        <v>3</v>
      </c>
      <c r="AI49" s="32">
        <v>4</v>
      </c>
      <c r="AJ49" s="32">
        <v>3</v>
      </c>
      <c r="AK49" s="32">
        <f t="shared" si="9"/>
        <v>0</v>
      </c>
      <c r="AL49" s="32">
        <f t="shared" si="10"/>
        <v>0</v>
      </c>
      <c r="AM49" s="32">
        <f t="shared" si="11"/>
        <v>4</v>
      </c>
      <c r="AN49" s="32">
        <f t="shared" si="12"/>
        <v>4</v>
      </c>
      <c r="AO49" s="32">
        <v>1</v>
      </c>
      <c r="AP49" s="32">
        <v>1</v>
      </c>
      <c r="AQ49" s="32">
        <v>1</v>
      </c>
      <c r="AR49" s="32">
        <v>0</v>
      </c>
      <c r="AS49" s="32">
        <v>1</v>
      </c>
      <c r="AT49" s="32">
        <v>1</v>
      </c>
      <c r="AU49" s="32">
        <v>1</v>
      </c>
      <c r="AV49" s="32">
        <v>1</v>
      </c>
      <c r="AW49" s="32">
        <v>1</v>
      </c>
      <c r="AX49" s="32">
        <v>3</v>
      </c>
      <c r="AY49" s="32">
        <v>4</v>
      </c>
      <c r="AZ49" s="32">
        <v>4</v>
      </c>
      <c r="BA49" s="15"/>
      <c r="BB49" s="32">
        <v>3</v>
      </c>
      <c r="BC49" s="32">
        <v>3</v>
      </c>
      <c r="BD49" s="32">
        <v>3</v>
      </c>
      <c r="BE49" s="32">
        <v>4</v>
      </c>
      <c r="BF49" s="32">
        <v>3</v>
      </c>
      <c r="BG49" s="32">
        <f t="shared" si="13"/>
        <v>0</v>
      </c>
      <c r="BH49" s="32">
        <f t="shared" si="14"/>
        <v>0</v>
      </c>
      <c r="BI49" s="32">
        <f t="shared" si="15"/>
        <v>5</v>
      </c>
      <c r="BJ49" s="32">
        <f t="shared" si="16"/>
        <v>3</v>
      </c>
      <c r="BK49" s="32">
        <f t="shared" si="17"/>
        <v>1</v>
      </c>
      <c r="BL49" s="32">
        <f t="shared" si="18"/>
        <v>1</v>
      </c>
      <c r="BM49" s="32">
        <f t="shared" si="19"/>
        <v>1</v>
      </c>
      <c r="BN49" s="32">
        <f t="shared" si="20"/>
        <v>0</v>
      </c>
      <c r="BO49" s="32">
        <f t="shared" si="21"/>
        <v>1</v>
      </c>
      <c r="BP49" s="32">
        <f t="shared" si="22"/>
        <v>1</v>
      </c>
      <c r="BQ49" s="32">
        <f t="shared" si="23"/>
        <v>1</v>
      </c>
      <c r="BR49" s="32">
        <f t="shared" si="24"/>
        <v>1</v>
      </c>
      <c r="BS49" s="32">
        <f t="shared" si="25"/>
        <v>1</v>
      </c>
      <c r="BT49" s="15">
        <f>SUM(Raw!AT46:AT54)</f>
        <v>0</v>
      </c>
      <c r="BU49" s="15">
        <f>SUM(Raw!BA46:BA54)</f>
        <v>3</v>
      </c>
      <c r="BV49" s="15">
        <f>SUM(Raw!BG46:BG54)</f>
        <v>4</v>
      </c>
      <c r="BW49" s="15"/>
      <c r="BX49" s="15">
        <f>SUM(Raw!BM46:BM54)</f>
        <v>0</v>
      </c>
      <c r="BY49" s="15">
        <f>SUM(Raw!BN46:BN54)</f>
        <v>0</v>
      </c>
      <c r="BZ49" s="15">
        <f>SUM(Raw!BO46:BO54)</f>
        <v>0</v>
      </c>
      <c r="CA49" s="15">
        <f>SUM(Raw!BP46:BP54)</f>
        <v>3</v>
      </c>
      <c r="CB49" s="15">
        <f>SUM(Raw!BQ46:BQ54)</f>
        <v>0</v>
      </c>
      <c r="CC49" s="33">
        <v>2</v>
      </c>
      <c r="CD49" s="33">
        <v>2</v>
      </c>
      <c r="CE49" s="33">
        <v>2</v>
      </c>
      <c r="CF49" s="33">
        <v>2</v>
      </c>
      <c r="CG49" s="33">
        <v>2</v>
      </c>
      <c r="CH49" s="33">
        <v>2</v>
      </c>
      <c r="CI49" s="33">
        <v>1</v>
      </c>
      <c r="CJ49" s="33">
        <v>2</v>
      </c>
      <c r="CK49" s="33">
        <v>2</v>
      </c>
      <c r="CL49" s="33">
        <v>1</v>
      </c>
      <c r="CM49" s="33">
        <v>2</v>
      </c>
      <c r="CN49" s="33">
        <v>2</v>
      </c>
      <c r="CO49" s="33">
        <v>1</v>
      </c>
      <c r="CP49" s="33">
        <v>2</v>
      </c>
      <c r="CQ49" s="33">
        <v>2</v>
      </c>
    </row>
    <row r="50" spans="1:95">
      <c r="A50" s="4">
        <v>2</v>
      </c>
      <c r="B50" s="15">
        <v>2</v>
      </c>
      <c r="C50" s="15">
        <v>5</v>
      </c>
      <c r="D50" s="29">
        <v>40876</v>
      </c>
      <c r="E50" s="30">
        <v>1</v>
      </c>
      <c r="F50" s="15">
        <v>1989</v>
      </c>
      <c r="G50" s="31">
        <v>4</v>
      </c>
      <c r="H50" s="31">
        <v>1</v>
      </c>
      <c r="I50" s="31">
        <v>0</v>
      </c>
      <c r="J50" s="31">
        <v>2</v>
      </c>
      <c r="K50" s="31">
        <v>2</v>
      </c>
      <c r="L50" s="31">
        <v>2</v>
      </c>
      <c r="M50" s="32">
        <v>5</v>
      </c>
      <c r="N50" s="32">
        <v>2</v>
      </c>
      <c r="O50" s="15">
        <v>1</v>
      </c>
      <c r="P50" s="15">
        <v>1</v>
      </c>
      <c r="Q50" s="15">
        <v>5</v>
      </c>
      <c r="R50" s="15">
        <v>0</v>
      </c>
      <c r="S50" s="15">
        <v>0</v>
      </c>
      <c r="T50" s="15">
        <v>1</v>
      </c>
      <c r="U50" s="15">
        <v>0</v>
      </c>
      <c r="V50" s="15">
        <v>0</v>
      </c>
      <c r="W50" s="15">
        <v>0</v>
      </c>
      <c r="X50" s="15">
        <v>2</v>
      </c>
      <c r="Y50" s="15">
        <v>2</v>
      </c>
      <c r="Z50" s="15">
        <v>2</v>
      </c>
      <c r="AA50" s="15">
        <v>2</v>
      </c>
      <c r="AB50" s="32">
        <v>4</v>
      </c>
      <c r="AC50" s="32">
        <v>1</v>
      </c>
      <c r="AD50" s="32">
        <v>3</v>
      </c>
      <c r="AE50" s="32">
        <v>3</v>
      </c>
      <c r="AF50" s="15"/>
      <c r="AG50" s="32">
        <v>3</v>
      </c>
      <c r="AH50" s="32">
        <v>3</v>
      </c>
      <c r="AI50" s="32">
        <v>1</v>
      </c>
      <c r="AJ50" s="32">
        <v>4</v>
      </c>
      <c r="AK50" s="32">
        <f t="shared" si="9"/>
        <v>2</v>
      </c>
      <c r="AL50" s="32">
        <f t="shared" si="10"/>
        <v>0</v>
      </c>
      <c r="AM50" s="32">
        <f t="shared" si="11"/>
        <v>4</v>
      </c>
      <c r="AN50" s="32">
        <f t="shared" si="12"/>
        <v>2</v>
      </c>
      <c r="AO50" s="32">
        <v>1</v>
      </c>
      <c r="AP50" s="32">
        <v>0</v>
      </c>
      <c r="AQ50" s="32">
        <v>0</v>
      </c>
      <c r="AR50" s="32">
        <v>1</v>
      </c>
      <c r="AS50" s="32">
        <v>0</v>
      </c>
      <c r="AT50" s="32">
        <v>1</v>
      </c>
      <c r="AU50" s="32">
        <v>1</v>
      </c>
      <c r="AV50" s="32">
        <v>0</v>
      </c>
      <c r="AW50" s="32">
        <v>1</v>
      </c>
      <c r="AX50" s="32">
        <v>4</v>
      </c>
      <c r="AY50" s="32">
        <v>2</v>
      </c>
      <c r="AZ50" s="32">
        <v>3</v>
      </c>
      <c r="BA50" s="32">
        <v>3</v>
      </c>
      <c r="BB50" s="15"/>
      <c r="BC50" s="32">
        <v>3</v>
      </c>
      <c r="BD50" s="32">
        <v>3</v>
      </c>
      <c r="BE50" s="32">
        <v>3</v>
      </c>
      <c r="BF50" s="32">
        <v>4</v>
      </c>
      <c r="BG50" s="32">
        <f t="shared" si="13"/>
        <v>0</v>
      </c>
      <c r="BH50" s="32">
        <f t="shared" si="14"/>
        <v>1</v>
      </c>
      <c r="BI50" s="32">
        <f t="shared" si="15"/>
        <v>5</v>
      </c>
      <c r="BJ50" s="32">
        <f t="shared" si="16"/>
        <v>2</v>
      </c>
      <c r="BK50" s="32">
        <f t="shared" si="17"/>
        <v>1</v>
      </c>
      <c r="BL50" s="32">
        <f t="shared" si="18"/>
        <v>0</v>
      </c>
      <c r="BM50" s="32">
        <f t="shared" si="19"/>
        <v>1</v>
      </c>
      <c r="BN50" s="32">
        <f t="shared" si="20"/>
        <v>1</v>
      </c>
      <c r="BO50" s="32">
        <f t="shared" si="21"/>
        <v>0</v>
      </c>
      <c r="BP50" s="32">
        <f t="shared" si="22"/>
        <v>1</v>
      </c>
      <c r="BQ50" s="32">
        <f t="shared" si="23"/>
        <v>1</v>
      </c>
      <c r="BR50" s="32">
        <f t="shared" si="24"/>
        <v>0</v>
      </c>
      <c r="BS50" s="32">
        <f t="shared" si="25"/>
        <v>1</v>
      </c>
      <c r="BT50" s="15">
        <f>SUM(Raw!AU46:AU54)</f>
        <v>6</v>
      </c>
      <c r="BU50" s="15">
        <f>SUM(Raw!BB46:BB54)</f>
        <v>0</v>
      </c>
      <c r="BV50" s="15">
        <f>SUM(Raw!BH46:BH54)</f>
        <v>0</v>
      </c>
      <c r="BW50" s="15">
        <f>SUM(Raw!BM46:BM54)</f>
        <v>0</v>
      </c>
      <c r="BX50" s="15"/>
      <c r="BY50" s="15">
        <f>SUM(Raw!BR46:BR54)</f>
        <v>2</v>
      </c>
      <c r="BZ50" s="15">
        <f>SUM(Raw!BS46:BS54)</f>
        <v>1</v>
      </c>
      <c r="CA50" s="15">
        <f>SUM(Raw!BT46:BT54)</f>
        <v>0</v>
      </c>
      <c r="CB50" s="15">
        <f>SUM(Raw!BU46:BU54)</f>
        <v>5</v>
      </c>
      <c r="CC50" s="33">
        <v>1</v>
      </c>
      <c r="CD50" s="33">
        <v>2</v>
      </c>
      <c r="CE50" s="33">
        <v>2</v>
      </c>
      <c r="CF50" s="33">
        <v>2</v>
      </c>
      <c r="CG50" s="33">
        <v>1</v>
      </c>
      <c r="CH50" s="33">
        <v>2</v>
      </c>
      <c r="CI50" s="33">
        <v>1</v>
      </c>
      <c r="CJ50" s="33">
        <v>1</v>
      </c>
      <c r="CK50" s="33">
        <v>2</v>
      </c>
      <c r="CL50" s="33">
        <v>0</v>
      </c>
      <c r="CM50" s="33">
        <v>1</v>
      </c>
      <c r="CN50" s="33">
        <v>2</v>
      </c>
      <c r="CO50" s="33">
        <v>1</v>
      </c>
      <c r="CP50" s="33">
        <v>1</v>
      </c>
      <c r="CQ50" s="33">
        <v>2</v>
      </c>
    </row>
    <row r="51" spans="1:95">
      <c r="A51" s="4">
        <v>2</v>
      </c>
      <c r="B51" s="15">
        <v>2</v>
      </c>
      <c r="C51" s="15">
        <v>6</v>
      </c>
      <c r="D51" s="29">
        <v>40876</v>
      </c>
      <c r="E51" s="30">
        <v>1</v>
      </c>
      <c r="F51" s="15">
        <v>1985</v>
      </c>
      <c r="G51" s="31">
        <v>4</v>
      </c>
      <c r="H51" s="15">
        <v>2</v>
      </c>
      <c r="I51" s="31">
        <v>0</v>
      </c>
      <c r="J51" s="31">
        <v>2</v>
      </c>
      <c r="K51" s="31">
        <v>2</v>
      </c>
      <c r="L51" s="31">
        <v>2</v>
      </c>
      <c r="M51" s="31">
        <v>0</v>
      </c>
      <c r="N51" s="15">
        <v>5</v>
      </c>
      <c r="O51" s="15">
        <v>6</v>
      </c>
      <c r="P51" s="15">
        <v>1</v>
      </c>
      <c r="Q51" s="15">
        <v>5</v>
      </c>
      <c r="R51" s="15">
        <v>4</v>
      </c>
      <c r="S51" s="15">
        <v>0</v>
      </c>
      <c r="T51" s="15">
        <v>1</v>
      </c>
      <c r="U51" s="15">
        <v>0</v>
      </c>
      <c r="V51" s="15">
        <v>2</v>
      </c>
      <c r="W51" s="15">
        <v>1</v>
      </c>
      <c r="X51" s="15">
        <v>3</v>
      </c>
      <c r="Y51" s="15">
        <v>1</v>
      </c>
      <c r="Z51" s="15">
        <v>0</v>
      </c>
      <c r="AA51" s="15">
        <v>1</v>
      </c>
      <c r="AB51" s="32">
        <v>3</v>
      </c>
      <c r="AC51" s="32">
        <v>2</v>
      </c>
      <c r="AD51" s="32">
        <v>2</v>
      </c>
      <c r="AE51" s="32">
        <v>3</v>
      </c>
      <c r="AF51" s="32">
        <v>3</v>
      </c>
      <c r="AG51" s="15"/>
      <c r="AH51" s="32">
        <v>2</v>
      </c>
      <c r="AI51" s="32">
        <v>2</v>
      </c>
      <c r="AJ51" s="32">
        <v>3</v>
      </c>
      <c r="AK51" s="32">
        <f t="shared" si="9"/>
        <v>0</v>
      </c>
      <c r="AL51" s="32">
        <f t="shared" si="10"/>
        <v>4</v>
      </c>
      <c r="AM51" s="32">
        <f t="shared" si="11"/>
        <v>4</v>
      </c>
      <c r="AN51" s="32">
        <f t="shared" si="12"/>
        <v>0</v>
      </c>
      <c r="AO51" s="32">
        <v>1</v>
      </c>
      <c r="AP51" s="32">
        <v>0</v>
      </c>
      <c r="AQ51" s="32">
        <v>0</v>
      </c>
      <c r="AR51" s="32">
        <v>1</v>
      </c>
      <c r="AS51" s="32">
        <v>1</v>
      </c>
      <c r="AT51" s="32">
        <v>0</v>
      </c>
      <c r="AU51" s="32">
        <v>0</v>
      </c>
      <c r="AV51" s="32">
        <v>0</v>
      </c>
      <c r="AW51" s="32">
        <v>1</v>
      </c>
      <c r="AX51" s="32">
        <v>3</v>
      </c>
      <c r="AY51" s="32">
        <v>2</v>
      </c>
      <c r="AZ51" s="32">
        <v>2</v>
      </c>
      <c r="BA51" s="32">
        <v>2</v>
      </c>
      <c r="BB51" s="32">
        <v>3</v>
      </c>
      <c r="BC51" s="15"/>
      <c r="BD51" s="32">
        <v>2</v>
      </c>
      <c r="BE51" s="32">
        <v>2</v>
      </c>
      <c r="BF51" s="32">
        <v>3</v>
      </c>
      <c r="BG51" s="32">
        <f t="shared" si="13"/>
        <v>0</v>
      </c>
      <c r="BH51" s="32">
        <f t="shared" si="14"/>
        <v>5</v>
      </c>
      <c r="BI51" s="32">
        <f t="shared" si="15"/>
        <v>3</v>
      </c>
      <c r="BJ51" s="32">
        <f t="shared" si="16"/>
        <v>0</v>
      </c>
      <c r="BK51" s="32">
        <f t="shared" si="17"/>
        <v>1</v>
      </c>
      <c r="BL51" s="32">
        <f t="shared" si="18"/>
        <v>0</v>
      </c>
      <c r="BM51" s="32">
        <f t="shared" si="19"/>
        <v>0</v>
      </c>
      <c r="BN51" s="32">
        <f t="shared" si="20"/>
        <v>0</v>
      </c>
      <c r="BO51" s="32">
        <f t="shared" si="21"/>
        <v>1</v>
      </c>
      <c r="BP51" s="32">
        <f t="shared" si="22"/>
        <v>0</v>
      </c>
      <c r="BQ51" s="32">
        <f t="shared" si="23"/>
        <v>0</v>
      </c>
      <c r="BR51" s="32">
        <f t="shared" si="24"/>
        <v>0</v>
      </c>
      <c r="BS51" s="32">
        <f t="shared" si="25"/>
        <v>1</v>
      </c>
      <c r="BT51" s="15">
        <f>SUM(Raw!AV46:AV54)</f>
        <v>4</v>
      </c>
      <c r="BU51" s="15">
        <f>SUM(Raw!BC46:BC54)</f>
        <v>0</v>
      </c>
      <c r="BV51" s="15">
        <f>SUM(Raw!BI46:BI54)</f>
        <v>0</v>
      </c>
      <c r="BW51" s="15">
        <f>SUM(Raw!BN46:BN54)</f>
        <v>0</v>
      </c>
      <c r="BX51" s="15">
        <f>SUM(Raw!BR46:BR54)</f>
        <v>2</v>
      </c>
      <c r="BY51" s="15"/>
      <c r="BZ51" s="15">
        <f>SUM(Raw!BV46:BV54)</f>
        <v>0</v>
      </c>
      <c r="CA51" s="15">
        <f>SUM(Raw!BW46:BW54)</f>
        <v>0</v>
      </c>
      <c r="CB51" s="15">
        <f>SUM(Raw!BX46:BX54)</f>
        <v>4</v>
      </c>
      <c r="CC51" s="33">
        <v>1</v>
      </c>
      <c r="CD51" s="33">
        <v>2</v>
      </c>
      <c r="CE51" s="33">
        <v>1</v>
      </c>
      <c r="CF51" s="33">
        <v>2</v>
      </c>
      <c r="CG51" s="33">
        <v>1</v>
      </c>
      <c r="CH51" s="33">
        <v>2</v>
      </c>
      <c r="CI51" s="33">
        <v>1</v>
      </c>
      <c r="CJ51" s="33">
        <v>2</v>
      </c>
      <c r="CK51" s="33">
        <v>1</v>
      </c>
      <c r="CL51" s="33">
        <v>1</v>
      </c>
      <c r="CM51" s="33">
        <v>2</v>
      </c>
      <c r="CN51" s="33">
        <v>1</v>
      </c>
      <c r="CO51" s="33">
        <v>1</v>
      </c>
      <c r="CP51" s="33">
        <v>2</v>
      </c>
      <c r="CQ51" s="33">
        <v>1</v>
      </c>
    </row>
    <row r="52" spans="1:95">
      <c r="A52" s="4">
        <v>2</v>
      </c>
      <c r="B52" s="15">
        <v>2</v>
      </c>
      <c r="C52" s="15">
        <v>7</v>
      </c>
      <c r="D52" s="29">
        <v>40882</v>
      </c>
      <c r="E52" s="30">
        <v>1</v>
      </c>
      <c r="F52" s="15">
        <v>1990</v>
      </c>
      <c r="G52" s="31">
        <v>1</v>
      </c>
      <c r="H52" s="31">
        <v>1</v>
      </c>
      <c r="I52" s="31">
        <v>1</v>
      </c>
      <c r="J52" s="31">
        <v>2</v>
      </c>
      <c r="K52" s="31">
        <v>1</v>
      </c>
      <c r="L52" s="31">
        <v>2</v>
      </c>
      <c r="M52" s="31">
        <v>3</v>
      </c>
      <c r="N52" s="32">
        <v>0</v>
      </c>
      <c r="O52" s="15">
        <v>0</v>
      </c>
      <c r="P52" s="15">
        <v>1</v>
      </c>
      <c r="Q52" s="15">
        <v>6</v>
      </c>
      <c r="R52" s="15">
        <v>2</v>
      </c>
      <c r="S52" s="15">
        <v>0</v>
      </c>
      <c r="T52" s="15">
        <v>2</v>
      </c>
      <c r="U52" s="15">
        <v>1</v>
      </c>
      <c r="V52" s="15">
        <v>2</v>
      </c>
      <c r="W52" s="15">
        <v>1</v>
      </c>
      <c r="X52" s="15">
        <v>1</v>
      </c>
      <c r="Y52" s="15">
        <v>1</v>
      </c>
      <c r="Z52" s="15">
        <v>0</v>
      </c>
      <c r="AA52" s="15">
        <v>2</v>
      </c>
      <c r="AB52" s="32">
        <v>4</v>
      </c>
      <c r="AC52" s="32">
        <v>1</v>
      </c>
      <c r="AD52" s="32">
        <v>2</v>
      </c>
      <c r="AE52" s="32">
        <v>3</v>
      </c>
      <c r="AF52" s="32">
        <v>4</v>
      </c>
      <c r="AG52" s="32">
        <v>2</v>
      </c>
      <c r="AH52" s="15"/>
      <c r="AI52" s="32">
        <v>1</v>
      </c>
      <c r="AJ52" s="32">
        <v>3</v>
      </c>
      <c r="AK52" s="32">
        <f t="shared" si="9"/>
        <v>2</v>
      </c>
      <c r="AL52" s="32">
        <f t="shared" si="10"/>
        <v>2</v>
      </c>
      <c r="AM52" s="32">
        <f t="shared" si="11"/>
        <v>2</v>
      </c>
      <c r="AN52" s="32">
        <f t="shared" si="12"/>
        <v>2</v>
      </c>
      <c r="AO52" s="32">
        <v>1</v>
      </c>
      <c r="AP52" s="32">
        <v>0</v>
      </c>
      <c r="AQ52" s="32">
        <v>0</v>
      </c>
      <c r="AR52" s="32">
        <v>1</v>
      </c>
      <c r="AS52" s="32">
        <v>1</v>
      </c>
      <c r="AT52" s="32">
        <v>0</v>
      </c>
      <c r="AU52" s="32">
        <v>0</v>
      </c>
      <c r="AV52" s="32">
        <v>0</v>
      </c>
      <c r="AW52" s="32">
        <v>1</v>
      </c>
      <c r="AX52" s="32">
        <v>3</v>
      </c>
      <c r="AY52" s="32">
        <v>2</v>
      </c>
      <c r="AZ52" s="32">
        <v>2</v>
      </c>
      <c r="BA52" s="32">
        <v>3</v>
      </c>
      <c r="BB52" s="32">
        <v>3</v>
      </c>
      <c r="BC52" s="32">
        <v>2</v>
      </c>
      <c r="BD52" s="15"/>
      <c r="BE52" s="32">
        <v>1</v>
      </c>
      <c r="BF52" s="32">
        <v>3</v>
      </c>
      <c r="BG52" s="32">
        <f t="shared" si="13"/>
        <v>1</v>
      </c>
      <c r="BH52" s="32">
        <f t="shared" si="14"/>
        <v>3</v>
      </c>
      <c r="BI52" s="32">
        <f t="shared" si="15"/>
        <v>4</v>
      </c>
      <c r="BJ52" s="32">
        <f t="shared" si="16"/>
        <v>0</v>
      </c>
      <c r="BK52" s="32">
        <f t="shared" si="17"/>
        <v>1</v>
      </c>
      <c r="BL52" s="32">
        <f t="shared" si="18"/>
        <v>0</v>
      </c>
      <c r="BM52" s="32">
        <f t="shared" si="19"/>
        <v>0</v>
      </c>
      <c r="BN52" s="32">
        <f t="shared" si="20"/>
        <v>1</v>
      </c>
      <c r="BO52" s="32">
        <f t="shared" si="21"/>
        <v>1</v>
      </c>
      <c r="BP52" s="32">
        <f t="shared" si="22"/>
        <v>0</v>
      </c>
      <c r="BQ52" s="32">
        <f t="shared" si="23"/>
        <v>0</v>
      </c>
      <c r="BR52" s="32">
        <f t="shared" si="24"/>
        <v>0</v>
      </c>
      <c r="BS52" s="32">
        <f t="shared" si="25"/>
        <v>1</v>
      </c>
      <c r="BT52" s="15">
        <f>SUM(Raw!AW46:AW54)</f>
        <v>2</v>
      </c>
      <c r="BU52" s="15">
        <f>SUM(Raw!BD46:BD54)</f>
        <v>1</v>
      </c>
      <c r="BV52" s="15">
        <f>SUM(Raw!BJ46:BJ54)</f>
        <v>0</v>
      </c>
      <c r="BW52" s="15">
        <f>SUM(Raw!BO46:BO54)</f>
        <v>0</v>
      </c>
      <c r="BX52" s="15">
        <f>SUM(Raw!BS46:BS54)</f>
        <v>1</v>
      </c>
      <c r="BY52" s="15">
        <f>SUM(Raw!BV46:BV54)</f>
        <v>0</v>
      </c>
      <c r="BZ52" s="15"/>
      <c r="CA52" s="15">
        <f>SUM(Raw!BW46:BW54)</f>
        <v>0</v>
      </c>
      <c r="CB52" s="15">
        <f>SUM(Raw!BX46:BX54)</f>
        <v>4</v>
      </c>
      <c r="CC52" s="33">
        <v>2</v>
      </c>
      <c r="CD52" s="33">
        <v>2</v>
      </c>
      <c r="CE52" s="33">
        <v>2</v>
      </c>
      <c r="CF52" s="33">
        <v>2</v>
      </c>
      <c r="CG52" s="33">
        <v>1</v>
      </c>
      <c r="CH52" s="33">
        <v>2</v>
      </c>
      <c r="CI52" s="33">
        <v>0</v>
      </c>
      <c r="CJ52" s="33">
        <v>1</v>
      </c>
      <c r="CK52" s="33">
        <v>2</v>
      </c>
      <c r="CL52" s="33">
        <v>0</v>
      </c>
      <c r="CM52" s="33">
        <v>1</v>
      </c>
      <c r="CN52" s="33">
        <v>1</v>
      </c>
      <c r="CO52" s="33">
        <v>1</v>
      </c>
      <c r="CP52" s="33">
        <v>1</v>
      </c>
      <c r="CQ52" s="33">
        <v>1</v>
      </c>
    </row>
    <row r="53" spans="1:95">
      <c r="A53" s="4">
        <v>2</v>
      </c>
      <c r="B53" s="15">
        <v>2</v>
      </c>
      <c r="C53" s="15">
        <v>8</v>
      </c>
      <c r="D53" s="29">
        <v>40876</v>
      </c>
      <c r="E53" s="30">
        <v>1</v>
      </c>
      <c r="F53" s="15">
        <v>1993</v>
      </c>
      <c r="G53" s="31">
        <v>1</v>
      </c>
      <c r="H53" s="31">
        <v>1</v>
      </c>
      <c r="I53" s="31">
        <v>0</v>
      </c>
      <c r="J53" s="31">
        <v>0</v>
      </c>
      <c r="K53" s="31">
        <v>1</v>
      </c>
      <c r="L53" s="31">
        <v>1</v>
      </c>
      <c r="M53" s="31">
        <v>3</v>
      </c>
      <c r="N53" s="32">
        <v>1</v>
      </c>
      <c r="O53" s="15">
        <v>3</v>
      </c>
      <c r="P53" s="15">
        <v>1</v>
      </c>
      <c r="Q53" s="15">
        <v>4</v>
      </c>
      <c r="R53" s="15">
        <v>1</v>
      </c>
      <c r="S53" s="15">
        <v>0</v>
      </c>
      <c r="T53" s="15">
        <v>3</v>
      </c>
      <c r="U53" s="15">
        <v>2</v>
      </c>
      <c r="V53" s="15">
        <v>2</v>
      </c>
      <c r="W53" s="15">
        <v>2</v>
      </c>
      <c r="X53" s="15">
        <v>0</v>
      </c>
      <c r="Y53" s="15">
        <v>0</v>
      </c>
      <c r="Z53" s="15">
        <v>1</v>
      </c>
      <c r="AA53" s="15">
        <v>1</v>
      </c>
      <c r="AB53" s="32">
        <v>3</v>
      </c>
      <c r="AC53" s="32">
        <v>3</v>
      </c>
      <c r="AD53" s="32">
        <v>4</v>
      </c>
      <c r="AE53" s="32">
        <v>4</v>
      </c>
      <c r="AF53" s="32">
        <v>3</v>
      </c>
      <c r="AG53" s="32">
        <v>2</v>
      </c>
      <c r="AH53" s="32">
        <v>3</v>
      </c>
      <c r="AI53" s="15"/>
      <c r="AJ53" s="32">
        <v>3</v>
      </c>
      <c r="AK53" s="32">
        <f t="shared" si="9"/>
        <v>0</v>
      </c>
      <c r="AL53" s="32">
        <f t="shared" si="10"/>
        <v>1</v>
      </c>
      <c r="AM53" s="32">
        <f t="shared" si="11"/>
        <v>5</v>
      </c>
      <c r="AN53" s="32">
        <f t="shared" si="12"/>
        <v>2</v>
      </c>
      <c r="AO53" s="32">
        <v>0</v>
      </c>
      <c r="AP53" s="32">
        <v>1</v>
      </c>
      <c r="AQ53" s="32">
        <v>1</v>
      </c>
      <c r="AR53" s="32">
        <v>1</v>
      </c>
      <c r="AS53" s="32">
        <v>0</v>
      </c>
      <c r="AT53" s="32">
        <v>0</v>
      </c>
      <c r="AU53" s="32">
        <v>0</v>
      </c>
      <c r="AV53" s="32">
        <v>0</v>
      </c>
      <c r="AW53" s="32">
        <v>0</v>
      </c>
      <c r="AX53" s="32">
        <v>2</v>
      </c>
      <c r="AY53" s="32">
        <v>3</v>
      </c>
      <c r="AZ53" s="32">
        <v>4</v>
      </c>
      <c r="BA53" s="32">
        <v>4</v>
      </c>
      <c r="BB53" s="32">
        <v>3</v>
      </c>
      <c r="BC53" s="32">
        <v>2</v>
      </c>
      <c r="BD53" s="32">
        <v>3</v>
      </c>
      <c r="BE53" s="15"/>
      <c r="BF53" s="32">
        <v>2</v>
      </c>
      <c r="BG53" s="32">
        <f t="shared" si="13"/>
        <v>0</v>
      </c>
      <c r="BH53" s="32">
        <f t="shared" si="14"/>
        <v>3</v>
      </c>
      <c r="BI53" s="32">
        <f t="shared" si="15"/>
        <v>3</v>
      </c>
      <c r="BJ53" s="32">
        <f t="shared" si="16"/>
        <v>2</v>
      </c>
      <c r="BK53" s="32">
        <f t="shared" si="17"/>
        <v>0</v>
      </c>
      <c r="BL53" s="32">
        <f t="shared" si="18"/>
        <v>1</v>
      </c>
      <c r="BM53" s="32">
        <f t="shared" si="19"/>
        <v>1</v>
      </c>
      <c r="BN53" s="32">
        <f t="shared" si="20"/>
        <v>1</v>
      </c>
      <c r="BO53" s="32">
        <f t="shared" si="21"/>
        <v>1</v>
      </c>
      <c r="BP53" s="32">
        <f t="shared" si="22"/>
        <v>0</v>
      </c>
      <c r="BQ53" s="32">
        <f t="shared" si="23"/>
        <v>1</v>
      </c>
      <c r="BR53" s="32">
        <f t="shared" si="24"/>
        <v>0</v>
      </c>
      <c r="BS53" s="32">
        <f t="shared" si="25"/>
        <v>0</v>
      </c>
      <c r="BT53" s="15">
        <f>SUM(Raw!AX46:AX54)</f>
        <v>0</v>
      </c>
      <c r="BU53" s="15">
        <f>SUM(Raw!BE46:BE54)</f>
        <v>4</v>
      </c>
      <c r="BV53" s="15">
        <f>SUM(Raw!BK46:BK54)</f>
        <v>4</v>
      </c>
      <c r="BW53" s="15">
        <f>SUM(Raw!BP46:BP54)</f>
        <v>3</v>
      </c>
      <c r="BX53" s="15">
        <f>SUM(Raw!BT46:BT54)</f>
        <v>0</v>
      </c>
      <c r="BY53" s="15">
        <f>SUM(Raw!BW46:BW54)</f>
        <v>0</v>
      </c>
      <c r="BZ53" s="15">
        <f>SUM(Raw!BY46:BY54)</f>
        <v>0</v>
      </c>
      <c r="CA53" s="15"/>
      <c r="CB53" s="15">
        <f>SUM(Raw!CA46:CA54)</f>
        <v>0</v>
      </c>
      <c r="CC53" s="33">
        <v>2</v>
      </c>
      <c r="CD53" s="33">
        <v>2</v>
      </c>
      <c r="CE53" s="33">
        <v>2</v>
      </c>
      <c r="CF53" s="33">
        <v>2</v>
      </c>
      <c r="CG53" s="33">
        <v>2</v>
      </c>
      <c r="CH53" s="33">
        <v>2</v>
      </c>
      <c r="CI53" s="33">
        <v>1</v>
      </c>
      <c r="CJ53" s="33">
        <v>2</v>
      </c>
      <c r="CK53" s="33">
        <v>2</v>
      </c>
      <c r="CL53" s="33">
        <v>0</v>
      </c>
      <c r="CM53" s="33">
        <v>2</v>
      </c>
      <c r="CN53" s="33">
        <v>1</v>
      </c>
      <c r="CO53" s="33">
        <v>1</v>
      </c>
      <c r="CP53" s="33">
        <v>1</v>
      </c>
      <c r="CQ53" s="33">
        <v>1</v>
      </c>
    </row>
    <row r="54" spans="1:95">
      <c r="A54" s="4">
        <v>2</v>
      </c>
      <c r="B54" s="15">
        <v>2</v>
      </c>
      <c r="C54" s="15">
        <v>9</v>
      </c>
      <c r="D54" s="29">
        <v>40876</v>
      </c>
      <c r="E54" s="30">
        <v>1</v>
      </c>
      <c r="F54" s="15">
        <v>1987</v>
      </c>
      <c r="G54" s="31">
        <v>4</v>
      </c>
      <c r="H54" s="31">
        <v>1</v>
      </c>
      <c r="I54" s="31">
        <v>0</v>
      </c>
      <c r="J54" s="31">
        <v>1</v>
      </c>
      <c r="K54" s="31">
        <v>1</v>
      </c>
      <c r="L54" s="31">
        <v>2</v>
      </c>
      <c r="M54" s="31">
        <v>3</v>
      </c>
      <c r="N54" s="32">
        <v>2</v>
      </c>
      <c r="O54" s="15">
        <v>2</v>
      </c>
      <c r="P54" s="15">
        <v>0</v>
      </c>
      <c r="Q54" s="15">
        <v>6</v>
      </c>
      <c r="R54" s="15">
        <v>4</v>
      </c>
      <c r="S54" s="15">
        <v>0</v>
      </c>
      <c r="T54" s="15">
        <v>1</v>
      </c>
      <c r="U54" s="15">
        <v>1</v>
      </c>
      <c r="V54" s="15">
        <v>2</v>
      </c>
      <c r="W54" s="15">
        <v>0</v>
      </c>
      <c r="X54" s="15">
        <v>6</v>
      </c>
      <c r="Y54" s="15">
        <v>1</v>
      </c>
      <c r="Z54" s="15">
        <v>2</v>
      </c>
      <c r="AA54" s="15">
        <v>1</v>
      </c>
      <c r="AB54" s="32">
        <v>4</v>
      </c>
      <c r="AC54" s="32">
        <v>1</v>
      </c>
      <c r="AD54" s="32">
        <v>3</v>
      </c>
      <c r="AE54" s="32">
        <v>3</v>
      </c>
      <c r="AF54" s="32">
        <v>4</v>
      </c>
      <c r="AG54" s="32">
        <v>3</v>
      </c>
      <c r="AH54" s="32">
        <v>3</v>
      </c>
      <c r="AI54" s="32">
        <v>1</v>
      </c>
      <c r="AJ54" s="15"/>
      <c r="AK54" s="32">
        <f t="shared" si="9"/>
        <v>2</v>
      </c>
      <c r="AL54" s="32">
        <f t="shared" si="10"/>
        <v>0</v>
      </c>
      <c r="AM54" s="32">
        <f t="shared" si="11"/>
        <v>4</v>
      </c>
      <c r="AN54" s="32">
        <f t="shared" si="12"/>
        <v>2</v>
      </c>
      <c r="AO54" s="32">
        <v>1</v>
      </c>
      <c r="AP54" s="32">
        <v>0</v>
      </c>
      <c r="AQ54" s="32">
        <v>0</v>
      </c>
      <c r="AR54" s="32">
        <v>1</v>
      </c>
      <c r="AS54" s="32">
        <v>1</v>
      </c>
      <c r="AT54" s="32">
        <v>1</v>
      </c>
      <c r="AU54" s="32">
        <v>1</v>
      </c>
      <c r="AV54" s="32">
        <v>0</v>
      </c>
      <c r="AW54" s="32">
        <v>0</v>
      </c>
      <c r="AX54" s="32">
        <v>4</v>
      </c>
      <c r="AY54" s="32">
        <v>2</v>
      </c>
      <c r="AZ54" s="32">
        <v>2</v>
      </c>
      <c r="BA54" s="32">
        <v>2</v>
      </c>
      <c r="BB54" s="32">
        <v>3</v>
      </c>
      <c r="BC54" s="32">
        <v>3</v>
      </c>
      <c r="BD54" s="32">
        <v>2</v>
      </c>
      <c r="BE54" s="32">
        <v>2</v>
      </c>
      <c r="BF54" s="15"/>
      <c r="BG54" s="32">
        <f t="shared" si="13"/>
        <v>0</v>
      </c>
      <c r="BH54" s="32">
        <f t="shared" si="14"/>
        <v>5</v>
      </c>
      <c r="BI54" s="32">
        <f t="shared" si="15"/>
        <v>2</v>
      </c>
      <c r="BJ54" s="32">
        <f t="shared" si="16"/>
        <v>1</v>
      </c>
      <c r="BK54" s="32">
        <f t="shared" si="17"/>
        <v>1</v>
      </c>
      <c r="BL54" s="32">
        <f t="shared" si="18"/>
        <v>0</v>
      </c>
      <c r="BM54" s="32">
        <f t="shared" si="19"/>
        <v>0</v>
      </c>
      <c r="BN54" s="32">
        <f t="shared" si="20"/>
        <v>0</v>
      </c>
      <c r="BO54" s="32">
        <f t="shared" si="21"/>
        <v>1</v>
      </c>
      <c r="BP54" s="32">
        <f t="shared" si="22"/>
        <v>1</v>
      </c>
      <c r="BQ54" s="32">
        <f t="shared" si="23"/>
        <v>0</v>
      </c>
      <c r="BR54" s="32">
        <f t="shared" si="24"/>
        <v>0</v>
      </c>
      <c r="BS54" s="32">
        <f t="shared" si="25"/>
        <v>0</v>
      </c>
      <c r="BT54" s="15">
        <f>SUM(Raw!AY46:AY54)</f>
        <v>6</v>
      </c>
      <c r="BU54" s="15">
        <f>SUM(Raw!BF46:BF54)</f>
        <v>0</v>
      </c>
      <c r="BV54" s="15">
        <f>SUM(Raw!BL46:BL53)</f>
        <v>0</v>
      </c>
      <c r="BW54" s="15">
        <f>SUM(Raw!BQ46:BQ54)</f>
        <v>0</v>
      </c>
      <c r="BX54" s="15">
        <f>SUM(Raw!BU46:BU54)</f>
        <v>5</v>
      </c>
      <c r="BY54" s="15">
        <f>SUM(Raw!BX46:BX54)</f>
        <v>4</v>
      </c>
      <c r="BZ54" s="15">
        <f>SUM(Raw!BX46:BX54)</f>
        <v>4</v>
      </c>
      <c r="CA54" s="15">
        <f>SUM(Raw!CA46:CA54)</f>
        <v>0</v>
      </c>
      <c r="CB54" s="15"/>
      <c r="CC54" s="33">
        <v>1</v>
      </c>
      <c r="CD54" s="33">
        <v>2</v>
      </c>
      <c r="CE54" s="33">
        <v>1</v>
      </c>
      <c r="CF54" s="33">
        <v>2</v>
      </c>
      <c r="CG54" s="33">
        <v>1</v>
      </c>
      <c r="CH54" s="33">
        <v>2</v>
      </c>
      <c r="CI54" s="33">
        <v>0</v>
      </c>
      <c r="CJ54" s="33">
        <v>1</v>
      </c>
      <c r="CK54" s="33">
        <v>2</v>
      </c>
      <c r="CL54" s="33">
        <v>0</v>
      </c>
      <c r="CM54" s="33">
        <v>1</v>
      </c>
      <c r="CN54" s="33">
        <v>2</v>
      </c>
      <c r="CO54" s="33">
        <v>0</v>
      </c>
      <c r="CP54" s="33">
        <v>1</v>
      </c>
      <c r="CQ54" s="33">
        <v>2</v>
      </c>
    </row>
    <row r="55" spans="1:95">
      <c r="A55" s="4">
        <v>3</v>
      </c>
      <c r="B55" s="15">
        <v>2</v>
      </c>
      <c r="C55" s="15">
        <v>1</v>
      </c>
      <c r="D55" s="29">
        <v>40876</v>
      </c>
      <c r="E55" s="30">
        <v>1</v>
      </c>
      <c r="F55" s="15">
        <v>1988</v>
      </c>
      <c r="G55" s="31">
        <v>5</v>
      </c>
      <c r="H55" s="31">
        <v>1</v>
      </c>
      <c r="I55" s="31">
        <v>1</v>
      </c>
      <c r="J55" s="31">
        <v>2</v>
      </c>
      <c r="K55" s="31">
        <v>0</v>
      </c>
      <c r="L55" s="31">
        <v>2</v>
      </c>
      <c r="M55" s="31">
        <v>3</v>
      </c>
      <c r="N55" s="32">
        <v>2</v>
      </c>
      <c r="O55" s="15">
        <v>6</v>
      </c>
      <c r="P55" s="15">
        <v>1</v>
      </c>
      <c r="Q55" s="15">
        <v>11</v>
      </c>
      <c r="R55" s="15">
        <v>0</v>
      </c>
      <c r="S55" s="15">
        <v>3</v>
      </c>
      <c r="T55" s="15">
        <v>1</v>
      </c>
      <c r="U55" s="15">
        <v>1</v>
      </c>
      <c r="V55" s="15">
        <v>2</v>
      </c>
      <c r="W55" s="15">
        <v>1</v>
      </c>
      <c r="X55" s="15">
        <v>11</v>
      </c>
      <c r="Y55" s="15">
        <v>0</v>
      </c>
      <c r="Z55" s="15">
        <v>0</v>
      </c>
      <c r="AA55" s="15">
        <v>1</v>
      </c>
      <c r="AB55" s="15"/>
      <c r="AC55" s="32">
        <v>2</v>
      </c>
      <c r="AD55" s="32">
        <v>2</v>
      </c>
      <c r="AE55" s="32">
        <v>3</v>
      </c>
      <c r="AF55" s="32">
        <v>3</v>
      </c>
      <c r="AG55" s="32">
        <v>3</v>
      </c>
      <c r="AH55" s="32">
        <v>2</v>
      </c>
      <c r="AI55" s="15"/>
      <c r="AJ55" s="15"/>
      <c r="AK55" s="32">
        <f t="shared" si="9"/>
        <v>0</v>
      </c>
      <c r="AL55" s="32">
        <f t="shared" si="10"/>
        <v>3</v>
      </c>
      <c r="AM55" s="32">
        <f t="shared" si="11"/>
        <v>3</v>
      </c>
      <c r="AN55" s="32">
        <f t="shared" si="12"/>
        <v>0</v>
      </c>
      <c r="AO55" s="32">
        <v>0</v>
      </c>
      <c r="AP55" s="32">
        <v>0</v>
      </c>
      <c r="AQ55" s="32">
        <v>0</v>
      </c>
      <c r="AR55" s="32">
        <v>1</v>
      </c>
      <c r="AS55" s="32">
        <v>1</v>
      </c>
      <c r="AT55" s="32">
        <v>0</v>
      </c>
      <c r="AU55" s="32">
        <v>0</v>
      </c>
      <c r="AV55" s="32">
        <v>0</v>
      </c>
      <c r="AW55" s="32"/>
      <c r="AX55" s="15"/>
      <c r="AY55" s="32">
        <v>3</v>
      </c>
      <c r="AZ55" s="32">
        <v>2</v>
      </c>
      <c r="BA55" s="32">
        <v>2</v>
      </c>
      <c r="BB55" s="32">
        <v>3</v>
      </c>
      <c r="BC55" s="32">
        <v>2</v>
      </c>
      <c r="BD55" s="32">
        <v>3</v>
      </c>
      <c r="BE55" s="32">
        <v>3</v>
      </c>
      <c r="BF55" s="15"/>
      <c r="BG55" s="32">
        <f t="shared" si="13"/>
        <v>0</v>
      </c>
      <c r="BH55" s="32">
        <f t="shared" si="14"/>
        <v>3</v>
      </c>
      <c r="BI55" s="32">
        <f t="shared" si="15"/>
        <v>4</v>
      </c>
      <c r="BJ55" s="32">
        <f t="shared" si="16"/>
        <v>0</v>
      </c>
      <c r="BK55" s="32">
        <f t="shared" si="17"/>
        <v>0</v>
      </c>
      <c r="BL55" s="32">
        <f t="shared" si="18"/>
        <v>0</v>
      </c>
      <c r="BM55" s="32">
        <f t="shared" si="19"/>
        <v>0</v>
      </c>
      <c r="BN55" s="32">
        <f t="shared" si="20"/>
        <v>0</v>
      </c>
      <c r="BO55" s="32">
        <f t="shared" si="21"/>
        <v>1</v>
      </c>
      <c r="BP55" s="32">
        <f t="shared" si="22"/>
        <v>0</v>
      </c>
      <c r="BQ55" s="32">
        <f t="shared" si="23"/>
        <v>0</v>
      </c>
      <c r="BR55" s="32">
        <f t="shared" si="24"/>
        <v>0</v>
      </c>
      <c r="BS55" s="32">
        <f t="shared" si="25"/>
        <v>0</v>
      </c>
      <c r="BT55" s="15"/>
      <c r="BU55" s="15">
        <f>SUM(Raw!AR55:AR62)</f>
        <v>2</v>
      </c>
      <c r="BV55" s="15">
        <f>SUM(Raw!AS55:AS62)</f>
        <v>2</v>
      </c>
      <c r="BW55" s="15">
        <f>SUM(Raw!AT55:AT62)</f>
        <v>2</v>
      </c>
      <c r="BX55" s="15">
        <f>SUM(Raw!AU55:AU62)</f>
        <v>2</v>
      </c>
      <c r="BY55" s="15">
        <f>SUM(Raw!AV55:AV62)</f>
        <v>2</v>
      </c>
      <c r="BZ55" s="15">
        <f>SUM(Raw!AW55:AW62)</f>
        <v>2</v>
      </c>
      <c r="CA55" s="15">
        <f>SUM(Raw!AX55:AX62)</f>
        <v>3</v>
      </c>
      <c r="CB55" s="15"/>
      <c r="CC55" s="33">
        <v>1</v>
      </c>
      <c r="CD55" s="33">
        <v>2</v>
      </c>
      <c r="CE55" s="33">
        <v>1</v>
      </c>
      <c r="CF55" s="33">
        <v>2</v>
      </c>
      <c r="CG55" s="33">
        <v>1</v>
      </c>
      <c r="CH55" s="33">
        <v>2</v>
      </c>
      <c r="CI55" s="33">
        <v>0</v>
      </c>
      <c r="CJ55" s="33">
        <v>1</v>
      </c>
      <c r="CK55" s="33">
        <v>2</v>
      </c>
      <c r="CL55" s="33">
        <v>0</v>
      </c>
      <c r="CM55" s="33">
        <v>1</v>
      </c>
      <c r="CN55" s="33">
        <v>2</v>
      </c>
      <c r="CO55" s="33">
        <v>0</v>
      </c>
      <c r="CP55" s="33">
        <v>1</v>
      </c>
      <c r="CQ55" s="33">
        <v>2</v>
      </c>
    </row>
    <row r="56" spans="1:95">
      <c r="A56" s="4">
        <v>3</v>
      </c>
      <c r="B56" s="15">
        <v>2</v>
      </c>
      <c r="C56" s="15">
        <v>2</v>
      </c>
      <c r="D56" s="29">
        <v>40883</v>
      </c>
      <c r="E56" s="30">
        <v>1</v>
      </c>
      <c r="F56" s="15">
        <v>1989</v>
      </c>
      <c r="G56" s="31">
        <v>3</v>
      </c>
      <c r="H56" s="31">
        <v>1</v>
      </c>
      <c r="I56" s="31">
        <v>0</v>
      </c>
      <c r="J56" s="31">
        <v>0</v>
      </c>
      <c r="K56" s="31">
        <v>2</v>
      </c>
      <c r="L56" s="31">
        <v>1</v>
      </c>
      <c r="M56" s="32">
        <v>5</v>
      </c>
      <c r="N56" s="32">
        <v>0</v>
      </c>
      <c r="O56" s="15">
        <v>3</v>
      </c>
      <c r="P56" s="15">
        <v>1</v>
      </c>
      <c r="Q56" s="15">
        <v>4</v>
      </c>
      <c r="R56" s="15">
        <v>2</v>
      </c>
      <c r="S56" s="15">
        <v>0</v>
      </c>
      <c r="T56" s="15">
        <v>2</v>
      </c>
      <c r="U56" s="15">
        <v>0</v>
      </c>
      <c r="V56" s="15">
        <v>0</v>
      </c>
      <c r="W56" s="15">
        <v>2</v>
      </c>
      <c r="X56" s="15">
        <v>1</v>
      </c>
      <c r="Y56" s="15">
        <v>1</v>
      </c>
      <c r="Z56" s="15">
        <v>6</v>
      </c>
      <c r="AA56" s="15">
        <v>1</v>
      </c>
      <c r="AB56" s="32">
        <v>4</v>
      </c>
      <c r="AC56" s="15"/>
      <c r="AD56" s="32">
        <v>4</v>
      </c>
      <c r="AE56" s="32">
        <v>4</v>
      </c>
      <c r="AF56" s="32">
        <v>4</v>
      </c>
      <c r="AG56" s="32">
        <v>4</v>
      </c>
      <c r="AH56" s="32">
        <v>4</v>
      </c>
      <c r="AI56" s="32">
        <v>4</v>
      </c>
      <c r="AJ56" s="15"/>
      <c r="AK56" s="32">
        <f t="shared" si="9"/>
        <v>0</v>
      </c>
      <c r="AL56" s="32">
        <f t="shared" si="10"/>
        <v>0</v>
      </c>
      <c r="AM56" s="32">
        <f t="shared" si="11"/>
        <v>0</v>
      </c>
      <c r="AN56" s="32">
        <f t="shared" si="12"/>
        <v>7</v>
      </c>
      <c r="AO56" s="32">
        <v>0</v>
      </c>
      <c r="AP56" s="32">
        <v>0</v>
      </c>
      <c r="AQ56" s="32">
        <v>1</v>
      </c>
      <c r="AR56" s="32">
        <v>1</v>
      </c>
      <c r="AS56" s="32">
        <v>1</v>
      </c>
      <c r="AT56" s="32">
        <v>1</v>
      </c>
      <c r="AU56" s="32">
        <v>1</v>
      </c>
      <c r="AV56" s="32">
        <v>1</v>
      </c>
      <c r="AW56" s="32"/>
      <c r="AX56" s="32">
        <v>2</v>
      </c>
      <c r="AY56" s="15"/>
      <c r="AZ56" s="32">
        <v>3</v>
      </c>
      <c r="BA56" s="32">
        <v>3</v>
      </c>
      <c r="BB56" s="32">
        <v>2</v>
      </c>
      <c r="BC56" s="32">
        <v>2</v>
      </c>
      <c r="BD56" s="32">
        <v>2</v>
      </c>
      <c r="BE56" s="32">
        <v>3</v>
      </c>
      <c r="BF56" s="15"/>
      <c r="BG56" s="32">
        <f t="shared" si="13"/>
        <v>0</v>
      </c>
      <c r="BH56" s="32">
        <f t="shared" si="14"/>
        <v>4</v>
      </c>
      <c r="BI56" s="32">
        <f t="shared" si="15"/>
        <v>3</v>
      </c>
      <c r="BJ56" s="32">
        <f t="shared" si="16"/>
        <v>0</v>
      </c>
      <c r="BK56" s="32">
        <f t="shared" si="17"/>
        <v>0</v>
      </c>
      <c r="BL56" s="32">
        <f t="shared" si="18"/>
        <v>0</v>
      </c>
      <c r="BM56" s="32">
        <f t="shared" si="19"/>
        <v>1</v>
      </c>
      <c r="BN56" s="32">
        <f t="shared" si="20"/>
        <v>1</v>
      </c>
      <c r="BO56" s="32">
        <f t="shared" si="21"/>
        <v>0</v>
      </c>
      <c r="BP56" s="32">
        <f t="shared" si="22"/>
        <v>0</v>
      </c>
      <c r="BQ56" s="32">
        <f t="shared" si="23"/>
        <v>0</v>
      </c>
      <c r="BR56" s="32">
        <f t="shared" si="24"/>
        <v>1</v>
      </c>
      <c r="BS56" s="32">
        <f t="shared" si="25"/>
        <v>0</v>
      </c>
      <c r="BT56" s="15">
        <f>SUM(Raw!AR55:AR63)</f>
        <v>2</v>
      </c>
      <c r="BU56" s="15"/>
      <c r="BV56" s="15">
        <f>SUM(Raw!AZ55:AZ62)</f>
        <v>4</v>
      </c>
      <c r="BW56" s="15">
        <f>SUM(Raw!BA55:BA62)</f>
        <v>3</v>
      </c>
      <c r="BX56" s="15">
        <f>SUM(Raw!BB55:BB62)</f>
        <v>2</v>
      </c>
      <c r="BY56" s="15">
        <f>SUM(Raw!BC55:BC62)</f>
        <v>3</v>
      </c>
      <c r="BZ56" s="15">
        <f>SUM(Raw!BD55:BD62)</f>
        <v>4</v>
      </c>
      <c r="CA56" s="15">
        <f>SUM(Raw!BE55:BE62)</f>
        <v>5</v>
      </c>
      <c r="CB56" s="15"/>
      <c r="CC56" s="33">
        <v>2</v>
      </c>
      <c r="CD56" s="33">
        <v>1</v>
      </c>
      <c r="CE56" s="33">
        <v>2</v>
      </c>
      <c r="CF56" s="33">
        <v>2</v>
      </c>
      <c r="CG56" s="33">
        <v>2</v>
      </c>
      <c r="CH56" s="33">
        <v>2</v>
      </c>
      <c r="CI56" s="33">
        <v>0</v>
      </c>
      <c r="CJ56" s="33">
        <v>2</v>
      </c>
      <c r="CK56" s="33">
        <v>2</v>
      </c>
      <c r="CL56" s="33">
        <v>0</v>
      </c>
      <c r="CM56" s="33">
        <v>2</v>
      </c>
      <c r="CN56" s="33">
        <v>1</v>
      </c>
      <c r="CO56" s="33">
        <v>0</v>
      </c>
      <c r="CP56" s="33">
        <v>2</v>
      </c>
      <c r="CQ56" s="33">
        <v>1</v>
      </c>
    </row>
    <row r="57" spans="1:95">
      <c r="A57" s="4">
        <v>3</v>
      </c>
      <c r="B57" s="15">
        <v>2</v>
      </c>
      <c r="C57" s="15">
        <v>3</v>
      </c>
      <c r="D57" s="29">
        <v>40876</v>
      </c>
      <c r="E57" s="30">
        <v>1</v>
      </c>
      <c r="F57" s="15">
        <v>1989</v>
      </c>
      <c r="G57" s="31">
        <v>3</v>
      </c>
      <c r="H57" s="15">
        <v>2</v>
      </c>
      <c r="I57" s="31">
        <v>0</v>
      </c>
      <c r="J57" s="31">
        <v>1</v>
      </c>
      <c r="K57" s="31">
        <v>2</v>
      </c>
      <c r="L57" s="31">
        <v>2</v>
      </c>
      <c r="M57" s="31">
        <v>3</v>
      </c>
      <c r="N57" s="32">
        <v>2</v>
      </c>
      <c r="O57" s="15">
        <v>2</v>
      </c>
      <c r="P57" s="15">
        <v>1</v>
      </c>
      <c r="Q57" s="15">
        <v>5</v>
      </c>
      <c r="R57" s="15">
        <v>2</v>
      </c>
      <c r="S57" s="15">
        <v>1</v>
      </c>
      <c r="T57" s="15">
        <v>1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5</v>
      </c>
      <c r="AA57" s="15">
        <v>2</v>
      </c>
      <c r="AB57" s="32">
        <v>3</v>
      </c>
      <c r="AC57" s="32">
        <v>3</v>
      </c>
      <c r="AD57" s="15"/>
      <c r="AE57" s="32">
        <v>3</v>
      </c>
      <c r="AF57" s="32">
        <v>3</v>
      </c>
      <c r="AG57" s="32">
        <v>4</v>
      </c>
      <c r="AH57" s="32">
        <v>4</v>
      </c>
      <c r="AI57" s="32">
        <v>4</v>
      </c>
      <c r="AJ57" s="15"/>
      <c r="AK57" s="32">
        <f t="shared" si="9"/>
        <v>0</v>
      </c>
      <c r="AL57" s="32">
        <f t="shared" si="10"/>
        <v>0</v>
      </c>
      <c r="AM57" s="32">
        <f t="shared" si="11"/>
        <v>4</v>
      </c>
      <c r="AN57" s="32">
        <f t="shared" si="12"/>
        <v>3</v>
      </c>
      <c r="AO57" s="32">
        <v>0</v>
      </c>
      <c r="AP57" s="32">
        <v>1</v>
      </c>
      <c r="AQ57" s="32">
        <v>0</v>
      </c>
      <c r="AR57" s="32">
        <v>1</v>
      </c>
      <c r="AS57" s="32">
        <v>1</v>
      </c>
      <c r="AT57" s="32">
        <v>1</v>
      </c>
      <c r="AU57" s="32">
        <v>1</v>
      </c>
      <c r="AV57" s="32">
        <v>1</v>
      </c>
      <c r="AW57" s="32"/>
      <c r="AX57" s="32">
        <v>3</v>
      </c>
      <c r="AY57" s="32">
        <v>3</v>
      </c>
      <c r="AZ57" s="15"/>
      <c r="BA57" s="32">
        <v>3</v>
      </c>
      <c r="BB57" s="32">
        <v>3</v>
      </c>
      <c r="BC57" s="32">
        <v>4</v>
      </c>
      <c r="BD57" s="32">
        <v>4</v>
      </c>
      <c r="BE57" s="32">
        <v>4</v>
      </c>
      <c r="BF57" s="15"/>
      <c r="BG57" s="32">
        <f t="shared" si="13"/>
        <v>0</v>
      </c>
      <c r="BH57" s="32">
        <f t="shared" si="14"/>
        <v>0</v>
      </c>
      <c r="BI57" s="32">
        <f t="shared" si="15"/>
        <v>4</v>
      </c>
      <c r="BJ57" s="32">
        <f t="shared" si="16"/>
        <v>3</v>
      </c>
      <c r="BK57" s="32">
        <f t="shared" si="17"/>
        <v>1</v>
      </c>
      <c r="BL57" s="32">
        <f t="shared" si="18"/>
        <v>1</v>
      </c>
      <c r="BM57" s="32">
        <f t="shared" si="19"/>
        <v>0</v>
      </c>
      <c r="BN57" s="32">
        <f t="shared" si="20"/>
        <v>1</v>
      </c>
      <c r="BO57" s="32">
        <f t="shared" si="21"/>
        <v>1</v>
      </c>
      <c r="BP57" s="32">
        <f t="shared" si="22"/>
        <v>1</v>
      </c>
      <c r="BQ57" s="32">
        <f t="shared" si="23"/>
        <v>1</v>
      </c>
      <c r="BR57" s="32">
        <f t="shared" si="24"/>
        <v>1</v>
      </c>
      <c r="BS57" s="32">
        <f t="shared" si="25"/>
        <v>0</v>
      </c>
      <c r="BT57" s="15">
        <f>SUM(Raw!AS55:AS62)</f>
        <v>2</v>
      </c>
      <c r="BU57" s="15">
        <f>SUM(Raw!AZ55:AZ62)</f>
        <v>4</v>
      </c>
      <c r="BV57" s="15"/>
      <c r="BW57" s="15">
        <f>SUM(Raw!BG55:BG62)</f>
        <v>5</v>
      </c>
      <c r="BX57" s="15">
        <f>SUM(Raw!BH55:BH62)</f>
        <v>4</v>
      </c>
      <c r="BY57" s="15">
        <f>SUM(Raw!BI55:BI62)</f>
        <v>4</v>
      </c>
      <c r="BZ57" s="15">
        <f>SUM(Raw!BJ55:BJ62)</f>
        <v>4</v>
      </c>
      <c r="CA57" s="15">
        <f>SUM(Raw!BK55:BK62)</f>
        <v>6</v>
      </c>
      <c r="CB57" s="15"/>
      <c r="CC57" s="33">
        <v>2</v>
      </c>
      <c r="CD57" s="33">
        <v>2</v>
      </c>
      <c r="CE57" s="33">
        <v>2</v>
      </c>
      <c r="CF57" s="33">
        <v>2</v>
      </c>
      <c r="CG57" s="33">
        <v>2</v>
      </c>
      <c r="CH57" s="33">
        <v>2</v>
      </c>
      <c r="CI57" s="33">
        <v>0</v>
      </c>
      <c r="CJ57" s="33">
        <v>2</v>
      </c>
      <c r="CK57" s="33">
        <v>2</v>
      </c>
      <c r="CL57" s="33">
        <v>0</v>
      </c>
      <c r="CM57" s="33">
        <v>2</v>
      </c>
      <c r="CN57" s="33">
        <v>2</v>
      </c>
      <c r="CO57" s="33">
        <v>0</v>
      </c>
      <c r="CP57" s="33">
        <v>2</v>
      </c>
      <c r="CQ57" s="33">
        <v>2</v>
      </c>
    </row>
    <row r="58" spans="1:95">
      <c r="A58" s="4">
        <v>3</v>
      </c>
      <c r="B58" s="15">
        <v>2</v>
      </c>
      <c r="C58" s="15">
        <v>4</v>
      </c>
      <c r="D58" s="29">
        <v>40876</v>
      </c>
      <c r="E58" s="30">
        <v>1</v>
      </c>
      <c r="F58" s="15">
        <v>1992</v>
      </c>
      <c r="G58" s="31">
        <v>3</v>
      </c>
      <c r="H58" s="31">
        <v>1</v>
      </c>
      <c r="I58" s="31">
        <v>0</v>
      </c>
      <c r="J58" s="31">
        <v>1</v>
      </c>
      <c r="K58" s="31">
        <v>0</v>
      </c>
      <c r="L58" s="31">
        <v>1</v>
      </c>
      <c r="M58" s="31">
        <v>0</v>
      </c>
      <c r="N58" s="32">
        <v>2</v>
      </c>
      <c r="O58" s="15">
        <v>4</v>
      </c>
      <c r="P58" s="15">
        <v>1</v>
      </c>
      <c r="Q58" s="15">
        <v>1</v>
      </c>
      <c r="R58" s="15">
        <v>2</v>
      </c>
      <c r="S58" s="15">
        <v>0</v>
      </c>
      <c r="T58" s="15">
        <v>2</v>
      </c>
      <c r="U58" s="15">
        <v>2</v>
      </c>
      <c r="V58" s="15">
        <v>2</v>
      </c>
      <c r="W58" s="15">
        <v>1</v>
      </c>
      <c r="X58" s="15">
        <v>1</v>
      </c>
      <c r="Y58" s="15">
        <v>1</v>
      </c>
      <c r="Z58" s="15">
        <v>5</v>
      </c>
      <c r="AA58" s="15">
        <v>1</v>
      </c>
      <c r="AB58" s="32">
        <v>3</v>
      </c>
      <c r="AC58" s="32">
        <v>4</v>
      </c>
      <c r="AD58" s="32">
        <v>4</v>
      </c>
      <c r="AE58" s="15"/>
      <c r="AF58" s="32">
        <v>4</v>
      </c>
      <c r="AG58" s="32">
        <v>3</v>
      </c>
      <c r="AH58" s="32">
        <v>4</v>
      </c>
      <c r="AI58" s="32">
        <v>4</v>
      </c>
      <c r="AJ58" s="15"/>
      <c r="AK58" s="32">
        <f t="shared" si="9"/>
        <v>0</v>
      </c>
      <c r="AL58" s="32">
        <f t="shared" si="10"/>
        <v>0</v>
      </c>
      <c r="AM58" s="32">
        <f t="shared" si="11"/>
        <v>2</v>
      </c>
      <c r="AN58" s="32">
        <f t="shared" si="12"/>
        <v>5</v>
      </c>
      <c r="AO58" s="32">
        <v>1</v>
      </c>
      <c r="AP58" s="32">
        <v>1</v>
      </c>
      <c r="AQ58" s="32">
        <v>1</v>
      </c>
      <c r="AR58" s="32">
        <v>0</v>
      </c>
      <c r="AS58" s="32">
        <v>1</v>
      </c>
      <c r="AT58" s="32">
        <v>1</v>
      </c>
      <c r="AU58" s="32">
        <v>1</v>
      </c>
      <c r="AV58" s="32">
        <v>1</v>
      </c>
      <c r="AW58" s="32"/>
      <c r="AX58" s="32">
        <v>3</v>
      </c>
      <c r="AY58" s="32">
        <v>3</v>
      </c>
      <c r="AZ58" s="32">
        <v>3</v>
      </c>
      <c r="BA58" s="15"/>
      <c r="BB58" s="32">
        <v>3</v>
      </c>
      <c r="BC58" s="32">
        <v>3</v>
      </c>
      <c r="BD58" s="32">
        <v>4</v>
      </c>
      <c r="BE58" s="32">
        <v>3</v>
      </c>
      <c r="BF58" s="15"/>
      <c r="BG58" s="32">
        <f t="shared" si="13"/>
        <v>0</v>
      </c>
      <c r="BH58" s="32">
        <f t="shared" si="14"/>
        <v>0</v>
      </c>
      <c r="BI58" s="32">
        <f t="shared" si="15"/>
        <v>6</v>
      </c>
      <c r="BJ58" s="32">
        <f t="shared" si="16"/>
        <v>1</v>
      </c>
      <c r="BK58" s="32">
        <f t="shared" si="17"/>
        <v>1</v>
      </c>
      <c r="BL58" s="32">
        <f t="shared" si="18"/>
        <v>1</v>
      </c>
      <c r="BM58" s="32">
        <f t="shared" si="19"/>
        <v>1</v>
      </c>
      <c r="BN58" s="32">
        <f t="shared" si="20"/>
        <v>0</v>
      </c>
      <c r="BO58" s="32">
        <f t="shared" si="21"/>
        <v>1</v>
      </c>
      <c r="BP58" s="32">
        <f t="shared" si="22"/>
        <v>1</v>
      </c>
      <c r="BQ58" s="32">
        <f t="shared" si="23"/>
        <v>1</v>
      </c>
      <c r="BR58" s="32">
        <f t="shared" si="24"/>
        <v>1</v>
      </c>
      <c r="BS58" s="32">
        <f t="shared" si="25"/>
        <v>0</v>
      </c>
      <c r="BT58" s="15">
        <f>SUM(Raw!AT55:AT62)</f>
        <v>2</v>
      </c>
      <c r="BU58" s="15">
        <f>SUM(Raw!BA55:BA62)</f>
        <v>3</v>
      </c>
      <c r="BV58" s="15">
        <f>SUM(Raw!BG55:BG62)</f>
        <v>5</v>
      </c>
      <c r="BW58" s="15"/>
      <c r="BX58" s="15">
        <f>SUM(Raw!BM55:BM62)</f>
        <v>4</v>
      </c>
      <c r="BY58" s="15">
        <f>SUM(Raw!BN55:BN62)</f>
        <v>4</v>
      </c>
      <c r="BZ58" s="15">
        <f>SUM(Raw!BO55:BO62)</f>
        <v>4</v>
      </c>
      <c r="CA58" s="15">
        <f>SUM(Raw!BP55:BP62)</f>
        <v>3</v>
      </c>
      <c r="CB58" s="15"/>
      <c r="CC58" s="33">
        <v>2</v>
      </c>
      <c r="CD58" s="33">
        <v>2</v>
      </c>
      <c r="CE58" s="33">
        <v>2</v>
      </c>
      <c r="CF58" s="33">
        <v>2</v>
      </c>
      <c r="CG58" s="33">
        <v>2</v>
      </c>
      <c r="CH58" s="33">
        <v>1</v>
      </c>
      <c r="CI58" s="33">
        <v>0</v>
      </c>
      <c r="CJ58" s="33">
        <v>2</v>
      </c>
      <c r="CK58" s="33">
        <v>2</v>
      </c>
      <c r="CL58" s="33">
        <v>0</v>
      </c>
      <c r="CM58" s="33">
        <v>2</v>
      </c>
      <c r="CN58" s="33">
        <v>2</v>
      </c>
      <c r="CO58" s="33">
        <v>0</v>
      </c>
      <c r="CP58" s="33">
        <v>2</v>
      </c>
      <c r="CQ58" s="33">
        <v>2</v>
      </c>
    </row>
    <row r="59" spans="1:95">
      <c r="A59" s="4">
        <v>3</v>
      </c>
      <c r="B59" s="15">
        <v>2</v>
      </c>
      <c r="C59" s="15">
        <v>5</v>
      </c>
      <c r="D59" s="29">
        <v>40879</v>
      </c>
      <c r="E59" s="30">
        <v>1</v>
      </c>
      <c r="F59" s="15">
        <v>1990</v>
      </c>
      <c r="G59" s="31">
        <v>2</v>
      </c>
      <c r="H59" s="31">
        <v>1</v>
      </c>
      <c r="I59" s="31">
        <v>0</v>
      </c>
      <c r="J59" s="31">
        <v>0</v>
      </c>
      <c r="K59" s="31">
        <v>1</v>
      </c>
      <c r="L59" s="31">
        <v>2</v>
      </c>
      <c r="M59" s="31">
        <v>2</v>
      </c>
      <c r="N59" s="32">
        <v>2</v>
      </c>
      <c r="O59" s="15">
        <v>2</v>
      </c>
      <c r="P59" s="15">
        <v>1</v>
      </c>
      <c r="Q59" s="15">
        <v>6</v>
      </c>
      <c r="R59" s="15">
        <v>1</v>
      </c>
      <c r="S59" s="15">
        <v>0</v>
      </c>
      <c r="T59" s="15">
        <v>3</v>
      </c>
      <c r="U59" s="15">
        <v>1</v>
      </c>
      <c r="V59" s="15">
        <v>1</v>
      </c>
      <c r="W59" s="15">
        <v>1</v>
      </c>
      <c r="X59" s="15">
        <v>2</v>
      </c>
      <c r="Y59" s="15">
        <v>0</v>
      </c>
      <c r="Z59" s="15">
        <v>1</v>
      </c>
      <c r="AA59" s="15">
        <v>0</v>
      </c>
      <c r="AB59" s="32">
        <v>4</v>
      </c>
      <c r="AC59" s="32">
        <v>3</v>
      </c>
      <c r="AD59" s="32">
        <v>3</v>
      </c>
      <c r="AE59" s="32">
        <v>4</v>
      </c>
      <c r="AF59" s="15"/>
      <c r="AG59" s="32">
        <v>4</v>
      </c>
      <c r="AH59" s="32">
        <v>4</v>
      </c>
      <c r="AI59" s="32">
        <v>4</v>
      </c>
      <c r="AJ59" s="15"/>
      <c r="AK59" s="32">
        <f t="shared" si="9"/>
        <v>0</v>
      </c>
      <c r="AL59" s="32">
        <f t="shared" si="10"/>
        <v>0</v>
      </c>
      <c r="AM59" s="32">
        <f t="shared" si="11"/>
        <v>2</v>
      </c>
      <c r="AN59" s="32">
        <f t="shared" si="12"/>
        <v>5</v>
      </c>
      <c r="AO59" s="32">
        <v>1</v>
      </c>
      <c r="AP59" s="32">
        <v>1</v>
      </c>
      <c r="AQ59" s="32">
        <v>1</v>
      </c>
      <c r="AR59" s="32">
        <v>1</v>
      </c>
      <c r="AS59" s="32">
        <v>0</v>
      </c>
      <c r="AT59" s="32">
        <v>0</v>
      </c>
      <c r="AU59" s="32">
        <v>1</v>
      </c>
      <c r="AV59" s="32">
        <v>1</v>
      </c>
      <c r="AW59" s="32"/>
      <c r="AX59" s="32">
        <v>4</v>
      </c>
      <c r="AY59" s="32">
        <v>2</v>
      </c>
      <c r="AZ59" s="32">
        <v>3</v>
      </c>
      <c r="BA59" s="32">
        <v>3</v>
      </c>
      <c r="BB59" s="15"/>
      <c r="BC59" s="32">
        <v>3</v>
      </c>
      <c r="BD59" s="32">
        <v>4</v>
      </c>
      <c r="BE59" s="32">
        <v>4</v>
      </c>
      <c r="BF59" s="15"/>
      <c r="BG59" s="32">
        <f t="shared" si="13"/>
        <v>0</v>
      </c>
      <c r="BH59" s="32">
        <f t="shared" si="14"/>
        <v>1</v>
      </c>
      <c r="BI59" s="32">
        <f t="shared" si="15"/>
        <v>3</v>
      </c>
      <c r="BJ59" s="32">
        <f t="shared" si="16"/>
        <v>3</v>
      </c>
      <c r="BK59" s="32">
        <f t="shared" si="17"/>
        <v>1</v>
      </c>
      <c r="BL59" s="32">
        <f t="shared" si="18"/>
        <v>0</v>
      </c>
      <c r="BM59" s="32">
        <f t="shared" si="19"/>
        <v>1</v>
      </c>
      <c r="BN59" s="32">
        <f t="shared" si="20"/>
        <v>1</v>
      </c>
      <c r="BO59" s="32">
        <f t="shared" si="21"/>
        <v>0</v>
      </c>
      <c r="BP59" s="32">
        <f t="shared" si="22"/>
        <v>1</v>
      </c>
      <c r="BQ59" s="32">
        <f t="shared" si="23"/>
        <v>1</v>
      </c>
      <c r="BR59" s="32">
        <f t="shared" si="24"/>
        <v>1</v>
      </c>
      <c r="BS59" s="32">
        <f t="shared" si="25"/>
        <v>0</v>
      </c>
      <c r="BT59" s="15">
        <f>SUM(Raw!AU55:AU62)</f>
        <v>2</v>
      </c>
      <c r="BU59" s="15">
        <f>SUM(Raw!BB55:BB62)</f>
        <v>2</v>
      </c>
      <c r="BV59" s="15">
        <f>SUM(Raw!BH55:BH62)</f>
        <v>4</v>
      </c>
      <c r="BW59" s="15">
        <f>SUM(Raw!BM55:BM62)</f>
        <v>4</v>
      </c>
      <c r="BX59" s="15"/>
      <c r="BY59" s="15">
        <f>SUM(Raw!BR55:BR62)</f>
        <v>4</v>
      </c>
      <c r="BZ59" s="15">
        <f>SUM(Raw!BS55:BS62)</f>
        <v>3</v>
      </c>
      <c r="CA59" s="15">
        <f>SUM(Raw!BT55:BT62)</f>
        <v>3</v>
      </c>
      <c r="CB59" s="15"/>
      <c r="CC59" s="33">
        <v>2</v>
      </c>
      <c r="CD59" s="33">
        <v>2</v>
      </c>
      <c r="CE59" s="33">
        <v>2</v>
      </c>
      <c r="CF59" s="33">
        <v>2</v>
      </c>
      <c r="CG59" s="33">
        <v>2</v>
      </c>
      <c r="CH59" s="33">
        <v>2</v>
      </c>
      <c r="CI59" s="33">
        <v>1</v>
      </c>
      <c r="CJ59" s="33">
        <v>2</v>
      </c>
      <c r="CK59" s="33">
        <v>2</v>
      </c>
      <c r="CL59" s="33">
        <v>1</v>
      </c>
      <c r="CM59" s="33">
        <v>2</v>
      </c>
      <c r="CN59" s="33">
        <v>2</v>
      </c>
      <c r="CO59" s="33">
        <v>1</v>
      </c>
      <c r="CP59" s="33">
        <v>2</v>
      </c>
      <c r="CQ59" s="33">
        <v>2</v>
      </c>
    </row>
    <row r="60" spans="1:95">
      <c r="A60" s="4">
        <v>3</v>
      </c>
      <c r="B60" s="15">
        <v>2</v>
      </c>
      <c r="C60" s="15">
        <v>6</v>
      </c>
      <c r="D60" s="29">
        <v>40886</v>
      </c>
      <c r="E60" s="30">
        <v>1</v>
      </c>
      <c r="F60" s="15">
        <v>1992</v>
      </c>
      <c r="G60" s="31">
        <v>3</v>
      </c>
      <c r="H60" s="31">
        <v>1</v>
      </c>
      <c r="I60" s="31">
        <v>0</v>
      </c>
      <c r="J60" s="31">
        <v>1</v>
      </c>
      <c r="K60" s="31">
        <v>1</v>
      </c>
      <c r="L60" s="31">
        <v>1</v>
      </c>
      <c r="M60" s="32">
        <v>5</v>
      </c>
      <c r="N60" s="32">
        <v>0</v>
      </c>
      <c r="O60" s="15">
        <v>2</v>
      </c>
      <c r="P60" s="15">
        <v>1</v>
      </c>
      <c r="Q60" s="15">
        <v>4</v>
      </c>
      <c r="R60" s="15">
        <v>1</v>
      </c>
      <c r="S60" s="15">
        <v>0</v>
      </c>
      <c r="T60" s="15">
        <v>2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5</v>
      </c>
      <c r="AA60" s="15">
        <v>0</v>
      </c>
      <c r="AB60" s="32">
        <v>2</v>
      </c>
      <c r="AC60" s="32">
        <v>3</v>
      </c>
      <c r="AD60" s="32">
        <v>4</v>
      </c>
      <c r="AE60" s="32">
        <v>3</v>
      </c>
      <c r="AF60" s="32">
        <v>2</v>
      </c>
      <c r="AG60" s="15"/>
      <c r="AH60" s="32">
        <v>2</v>
      </c>
      <c r="AI60" s="32">
        <v>3</v>
      </c>
      <c r="AJ60" s="15"/>
      <c r="AK60" s="32">
        <f t="shared" si="9"/>
        <v>0</v>
      </c>
      <c r="AL60" s="32">
        <f t="shared" si="10"/>
        <v>3</v>
      </c>
      <c r="AM60" s="32">
        <f t="shared" si="11"/>
        <v>3</v>
      </c>
      <c r="AN60" s="32">
        <f t="shared" si="12"/>
        <v>1</v>
      </c>
      <c r="AO60" s="32">
        <v>0</v>
      </c>
      <c r="AP60" s="32">
        <v>1</v>
      </c>
      <c r="AQ60" s="32">
        <v>1</v>
      </c>
      <c r="AR60" s="32">
        <v>1</v>
      </c>
      <c r="AS60" s="32">
        <v>0</v>
      </c>
      <c r="AT60" s="32">
        <v>0</v>
      </c>
      <c r="AU60" s="32">
        <v>0</v>
      </c>
      <c r="AV60" s="32">
        <v>1</v>
      </c>
      <c r="AW60" s="32"/>
      <c r="AX60" s="32">
        <v>2</v>
      </c>
      <c r="AY60" s="32">
        <v>3</v>
      </c>
      <c r="AZ60" s="32">
        <v>3</v>
      </c>
      <c r="BA60" s="32">
        <v>2</v>
      </c>
      <c r="BB60" s="32">
        <v>2</v>
      </c>
      <c r="BC60" s="15"/>
      <c r="BD60" s="32">
        <v>2</v>
      </c>
      <c r="BE60" s="32">
        <v>3</v>
      </c>
      <c r="BF60" s="15"/>
      <c r="BG60" s="32">
        <f t="shared" si="13"/>
        <v>0</v>
      </c>
      <c r="BH60" s="32">
        <f t="shared" si="14"/>
        <v>4</v>
      </c>
      <c r="BI60" s="32">
        <f t="shared" si="15"/>
        <v>3</v>
      </c>
      <c r="BJ60" s="32">
        <f t="shared" si="16"/>
        <v>0</v>
      </c>
      <c r="BK60" s="32">
        <f t="shared" si="17"/>
        <v>0</v>
      </c>
      <c r="BL60" s="32">
        <f t="shared" si="18"/>
        <v>1</v>
      </c>
      <c r="BM60" s="32">
        <f t="shared" si="19"/>
        <v>1</v>
      </c>
      <c r="BN60" s="32">
        <f t="shared" si="20"/>
        <v>0</v>
      </c>
      <c r="BO60" s="32">
        <f t="shared" si="21"/>
        <v>0</v>
      </c>
      <c r="BP60" s="32">
        <f t="shared" si="22"/>
        <v>0</v>
      </c>
      <c r="BQ60" s="32">
        <f t="shared" si="23"/>
        <v>0</v>
      </c>
      <c r="BR60" s="32">
        <f t="shared" si="24"/>
        <v>1</v>
      </c>
      <c r="BS60" s="32">
        <f t="shared" si="25"/>
        <v>0</v>
      </c>
      <c r="BT60" s="15">
        <f>SUM(Raw!AV55:AV62)</f>
        <v>2</v>
      </c>
      <c r="BU60" s="15">
        <f>SUM(Raw!BC55:BC62)</f>
        <v>3</v>
      </c>
      <c r="BV60" s="15">
        <f>SUM(Raw!BI55:BI62)</f>
        <v>4</v>
      </c>
      <c r="BW60" s="15">
        <f>SUM(Raw!BN55:BN62)</f>
        <v>4</v>
      </c>
      <c r="BX60" s="15">
        <f>SUM(Raw!BR55:BR62)</f>
        <v>4</v>
      </c>
      <c r="BY60" s="15"/>
      <c r="BZ60" s="15">
        <f>SUM(Raw!BV55:BV62)</f>
        <v>3</v>
      </c>
      <c r="CA60" s="15">
        <f>SUM(Raw!BW55:BW62)</f>
        <v>3</v>
      </c>
      <c r="CB60" s="15"/>
      <c r="CC60" s="33">
        <v>1</v>
      </c>
      <c r="CD60" s="33">
        <v>1</v>
      </c>
      <c r="CE60" s="33">
        <v>2</v>
      </c>
      <c r="CF60" s="33">
        <v>2</v>
      </c>
      <c r="CG60" s="33">
        <v>1</v>
      </c>
      <c r="CH60" s="33">
        <v>2</v>
      </c>
      <c r="CI60" s="33">
        <v>0</v>
      </c>
      <c r="CJ60" s="33">
        <v>2</v>
      </c>
      <c r="CK60" s="33">
        <v>2</v>
      </c>
      <c r="CL60" s="33">
        <v>0</v>
      </c>
      <c r="CM60" s="33">
        <v>1</v>
      </c>
      <c r="CN60" s="33">
        <v>1</v>
      </c>
      <c r="CO60" s="33">
        <v>1</v>
      </c>
      <c r="CP60" s="33">
        <v>1</v>
      </c>
      <c r="CQ60" s="33">
        <v>2</v>
      </c>
    </row>
    <row r="61" spans="1:95">
      <c r="A61" s="4">
        <v>3</v>
      </c>
      <c r="B61" s="15">
        <v>2</v>
      </c>
      <c r="C61" s="15">
        <v>7</v>
      </c>
      <c r="D61" s="29">
        <v>40876</v>
      </c>
      <c r="E61" s="30">
        <v>1</v>
      </c>
      <c r="F61" s="15">
        <v>1992</v>
      </c>
      <c r="G61" s="31">
        <v>4</v>
      </c>
      <c r="H61" s="31">
        <v>1</v>
      </c>
      <c r="I61" s="31">
        <v>0</v>
      </c>
      <c r="J61" s="31">
        <v>1</v>
      </c>
      <c r="K61" s="31">
        <v>2</v>
      </c>
      <c r="L61" s="31">
        <v>2</v>
      </c>
      <c r="M61" s="32">
        <v>5</v>
      </c>
      <c r="N61" s="32">
        <v>2</v>
      </c>
      <c r="O61" s="15">
        <v>5</v>
      </c>
      <c r="P61" s="15">
        <v>0</v>
      </c>
      <c r="Q61" s="15">
        <v>8</v>
      </c>
      <c r="R61" s="15">
        <v>0</v>
      </c>
      <c r="S61" s="15">
        <v>0</v>
      </c>
      <c r="T61" s="15">
        <v>2</v>
      </c>
      <c r="U61" s="15">
        <v>0</v>
      </c>
      <c r="V61" s="15">
        <v>0</v>
      </c>
      <c r="W61" s="15">
        <v>2</v>
      </c>
      <c r="X61" s="15">
        <v>1</v>
      </c>
      <c r="Y61" s="15">
        <v>1</v>
      </c>
      <c r="Z61" s="15">
        <v>6</v>
      </c>
      <c r="AA61" s="15">
        <v>1</v>
      </c>
      <c r="AB61" s="32">
        <v>3</v>
      </c>
      <c r="AC61" s="32">
        <v>3</v>
      </c>
      <c r="AD61" s="32">
        <v>4</v>
      </c>
      <c r="AE61" s="32">
        <v>4</v>
      </c>
      <c r="AF61" s="32">
        <v>4</v>
      </c>
      <c r="AG61" s="32">
        <v>3</v>
      </c>
      <c r="AH61" s="15"/>
      <c r="AI61" s="32">
        <v>4</v>
      </c>
      <c r="AJ61" s="15"/>
      <c r="AK61" s="32">
        <f t="shared" si="9"/>
        <v>0</v>
      </c>
      <c r="AL61" s="32">
        <f t="shared" si="10"/>
        <v>0</v>
      </c>
      <c r="AM61" s="32">
        <f t="shared" si="11"/>
        <v>3</v>
      </c>
      <c r="AN61" s="32">
        <f t="shared" si="12"/>
        <v>4</v>
      </c>
      <c r="AO61" s="32">
        <v>0</v>
      </c>
      <c r="AP61" s="32">
        <v>1</v>
      </c>
      <c r="AQ61" s="32">
        <v>1</v>
      </c>
      <c r="AR61" s="32">
        <v>1</v>
      </c>
      <c r="AS61" s="32">
        <v>1</v>
      </c>
      <c r="AT61" s="32">
        <v>0</v>
      </c>
      <c r="AU61" s="32">
        <v>0</v>
      </c>
      <c r="AV61" s="32">
        <v>1</v>
      </c>
      <c r="AW61" s="32"/>
      <c r="AX61" s="32">
        <v>3</v>
      </c>
      <c r="AY61" s="32">
        <v>3</v>
      </c>
      <c r="AZ61" s="32">
        <v>4</v>
      </c>
      <c r="BA61" s="32">
        <v>4</v>
      </c>
      <c r="BB61" s="32">
        <v>4</v>
      </c>
      <c r="BC61" s="32">
        <v>3</v>
      </c>
      <c r="BD61" s="15"/>
      <c r="BE61" s="32">
        <v>4</v>
      </c>
      <c r="BF61" s="15"/>
      <c r="BG61" s="32">
        <f t="shared" si="13"/>
        <v>0</v>
      </c>
      <c r="BH61" s="32">
        <f t="shared" si="14"/>
        <v>0</v>
      </c>
      <c r="BI61" s="32">
        <f t="shared" si="15"/>
        <v>3</v>
      </c>
      <c r="BJ61" s="32">
        <f t="shared" si="16"/>
        <v>4</v>
      </c>
      <c r="BK61" s="32">
        <f t="shared" si="17"/>
        <v>1</v>
      </c>
      <c r="BL61" s="32">
        <f t="shared" si="18"/>
        <v>1</v>
      </c>
      <c r="BM61" s="32">
        <f t="shared" si="19"/>
        <v>1</v>
      </c>
      <c r="BN61" s="32">
        <f t="shared" si="20"/>
        <v>1</v>
      </c>
      <c r="BO61" s="32">
        <f t="shared" si="21"/>
        <v>1</v>
      </c>
      <c r="BP61" s="32">
        <f t="shared" si="22"/>
        <v>1</v>
      </c>
      <c r="BQ61" s="32">
        <f t="shared" si="23"/>
        <v>0</v>
      </c>
      <c r="BR61" s="32">
        <f t="shared" si="24"/>
        <v>1</v>
      </c>
      <c r="BS61" s="32">
        <f t="shared" si="25"/>
        <v>0</v>
      </c>
      <c r="BT61" s="15">
        <f>SUM(Raw!AW55:AW62)</f>
        <v>2</v>
      </c>
      <c r="BU61" s="15">
        <f>SUM(Raw!BD55:BD62)</f>
        <v>4</v>
      </c>
      <c r="BV61" s="15">
        <f>SUM(Raw!BJ55:BJ62)</f>
        <v>4</v>
      </c>
      <c r="BW61" s="15">
        <f>SUM(Raw!BO55:BO62)</f>
        <v>4</v>
      </c>
      <c r="BX61" s="15">
        <f>SUM(Raw!BS55:BS62)</f>
        <v>3</v>
      </c>
      <c r="BY61" s="15">
        <f>SUM(Raw!BV55:BV62)</f>
        <v>3</v>
      </c>
      <c r="BZ61" s="15"/>
      <c r="CA61" s="15">
        <f>SUM(Raw!BY55:BY62)</f>
        <v>4</v>
      </c>
      <c r="CB61" s="15"/>
      <c r="CC61" s="33">
        <v>2</v>
      </c>
      <c r="CD61" s="33">
        <v>1</v>
      </c>
      <c r="CE61" s="33">
        <v>1</v>
      </c>
      <c r="CF61" s="33">
        <v>2</v>
      </c>
      <c r="CG61" s="33">
        <v>1</v>
      </c>
      <c r="CH61" s="33">
        <v>2</v>
      </c>
      <c r="CI61" s="33">
        <v>1</v>
      </c>
      <c r="CJ61" s="33">
        <v>1</v>
      </c>
      <c r="CK61" s="33">
        <v>2</v>
      </c>
      <c r="CL61" s="33">
        <v>1</v>
      </c>
      <c r="CM61" s="33">
        <v>1</v>
      </c>
      <c r="CN61" s="33">
        <v>2</v>
      </c>
      <c r="CO61" s="33">
        <v>1</v>
      </c>
      <c r="CP61" s="33">
        <v>1</v>
      </c>
      <c r="CQ61" s="33">
        <v>2</v>
      </c>
    </row>
    <row r="62" spans="1:95">
      <c r="A62" s="4">
        <v>3</v>
      </c>
      <c r="B62" s="15">
        <v>2</v>
      </c>
      <c r="C62" s="15">
        <v>8</v>
      </c>
      <c r="D62" s="29">
        <v>40876</v>
      </c>
      <c r="E62" s="30">
        <v>1</v>
      </c>
      <c r="F62" s="15">
        <v>1991</v>
      </c>
      <c r="G62" s="31">
        <v>1</v>
      </c>
      <c r="H62" s="31">
        <v>1</v>
      </c>
      <c r="I62" s="31">
        <v>1</v>
      </c>
      <c r="J62" s="31">
        <v>2</v>
      </c>
      <c r="K62" s="31">
        <v>2</v>
      </c>
      <c r="L62" s="31">
        <v>2</v>
      </c>
      <c r="M62" s="31">
        <v>3</v>
      </c>
      <c r="N62" s="32">
        <v>2</v>
      </c>
      <c r="O62" s="15">
        <v>1</v>
      </c>
      <c r="P62" s="15">
        <v>0</v>
      </c>
      <c r="Q62" s="15">
        <v>7</v>
      </c>
      <c r="R62" s="15">
        <v>2</v>
      </c>
      <c r="S62" s="15">
        <v>0</v>
      </c>
      <c r="T62" s="15">
        <v>3</v>
      </c>
      <c r="U62" s="15">
        <v>2</v>
      </c>
      <c r="V62" s="15">
        <v>2</v>
      </c>
      <c r="W62" s="15">
        <v>1</v>
      </c>
      <c r="X62" s="15">
        <v>0</v>
      </c>
      <c r="Y62" s="15">
        <v>0</v>
      </c>
      <c r="Z62" s="15">
        <v>4</v>
      </c>
      <c r="AA62" s="15">
        <v>1</v>
      </c>
      <c r="AB62" s="32">
        <v>3</v>
      </c>
      <c r="AC62" s="32">
        <v>4</v>
      </c>
      <c r="AD62" s="32">
        <v>4</v>
      </c>
      <c r="AE62" s="32">
        <v>4</v>
      </c>
      <c r="AF62" s="32">
        <v>3</v>
      </c>
      <c r="AG62" s="32">
        <v>4</v>
      </c>
      <c r="AH62" s="32">
        <v>4</v>
      </c>
      <c r="AI62" s="15"/>
      <c r="AJ62" s="15"/>
      <c r="AK62" s="32">
        <f t="shared" si="9"/>
        <v>0</v>
      </c>
      <c r="AL62" s="32">
        <f t="shared" si="10"/>
        <v>0</v>
      </c>
      <c r="AM62" s="32">
        <f t="shared" si="11"/>
        <v>2</v>
      </c>
      <c r="AN62" s="32">
        <f t="shared" si="12"/>
        <v>5</v>
      </c>
      <c r="AO62" s="32">
        <v>0</v>
      </c>
      <c r="AP62" s="32">
        <v>1</v>
      </c>
      <c r="AQ62" s="32">
        <v>1</v>
      </c>
      <c r="AR62" s="32">
        <v>1</v>
      </c>
      <c r="AS62" s="32">
        <v>1</v>
      </c>
      <c r="AT62" s="32">
        <v>1</v>
      </c>
      <c r="AU62" s="32">
        <v>1</v>
      </c>
      <c r="AV62" s="32">
        <v>0</v>
      </c>
      <c r="AW62" s="32"/>
      <c r="AX62" s="32">
        <v>3</v>
      </c>
      <c r="AY62" s="32">
        <v>3</v>
      </c>
      <c r="AZ62" s="32">
        <v>3</v>
      </c>
      <c r="BA62" s="32">
        <v>3</v>
      </c>
      <c r="BB62" s="32">
        <v>3</v>
      </c>
      <c r="BC62" s="32">
        <v>3</v>
      </c>
      <c r="BD62" s="32">
        <v>3</v>
      </c>
      <c r="BE62" s="15"/>
      <c r="BF62" s="15"/>
      <c r="BG62" s="32">
        <f t="shared" si="13"/>
        <v>0</v>
      </c>
      <c r="BH62" s="32">
        <f t="shared" si="14"/>
        <v>0</v>
      </c>
      <c r="BI62" s="32">
        <f t="shared" si="15"/>
        <v>7</v>
      </c>
      <c r="BJ62" s="32">
        <f t="shared" si="16"/>
        <v>0</v>
      </c>
      <c r="BK62" s="32">
        <f t="shared" si="17"/>
        <v>1</v>
      </c>
      <c r="BL62" s="32">
        <f t="shared" si="18"/>
        <v>1</v>
      </c>
      <c r="BM62" s="32">
        <f t="shared" si="19"/>
        <v>1</v>
      </c>
      <c r="BN62" s="32">
        <f t="shared" si="20"/>
        <v>1</v>
      </c>
      <c r="BO62" s="32">
        <f t="shared" si="21"/>
        <v>1</v>
      </c>
      <c r="BP62" s="32">
        <f t="shared" si="22"/>
        <v>1</v>
      </c>
      <c r="BQ62" s="32">
        <f t="shared" si="23"/>
        <v>1</v>
      </c>
      <c r="BR62" s="32">
        <f t="shared" si="24"/>
        <v>0</v>
      </c>
      <c r="BS62" s="32">
        <f t="shared" si="25"/>
        <v>0</v>
      </c>
      <c r="BT62" s="15">
        <f>SUM(Raw!AX55:AX62)</f>
        <v>3</v>
      </c>
      <c r="BU62" s="15">
        <f>SUM(Raw!BE55:BE62)</f>
        <v>5</v>
      </c>
      <c r="BV62" s="15">
        <f>SUM(Raw!BK55:BK62)</f>
        <v>6</v>
      </c>
      <c r="BW62" s="15">
        <f>SUM(Raw!BP55:BP62)</f>
        <v>3</v>
      </c>
      <c r="BX62" s="15">
        <f>SUM(Raw!BT55:BT62)</f>
        <v>3</v>
      </c>
      <c r="BY62" s="15">
        <f>SUM(Raw!BW55:BW62)</f>
        <v>3</v>
      </c>
      <c r="BZ62" s="15">
        <f>SUM(Raw!BY55:BY62)</f>
        <v>4</v>
      </c>
      <c r="CA62" s="15"/>
      <c r="CB62" s="15"/>
      <c r="CC62" s="33">
        <v>2</v>
      </c>
      <c r="CD62" s="33">
        <v>2</v>
      </c>
      <c r="CE62" s="33">
        <v>2</v>
      </c>
      <c r="CF62" s="33">
        <v>2</v>
      </c>
      <c r="CG62" s="33">
        <v>1</v>
      </c>
      <c r="CH62" s="33">
        <v>2</v>
      </c>
      <c r="CI62" s="33">
        <v>0</v>
      </c>
      <c r="CJ62" s="33">
        <v>2</v>
      </c>
      <c r="CK62" s="33">
        <v>2</v>
      </c>
      <c r="CL62" s="33">
        <v>0</v>
      </c>
      <c r="CM62" s="33">
        <v>2</v>
      </c>
      <c r="CN62" s="33">
        <v>2</v>
      </c>
      <c r="CO62" s="33">
        <v>0</v>
      </c>
      <c r="CP62" s="33">
        <v>2</v>
      </c>
      <c r="CQ62" s="33">
        <v>2</v>
      </c>
    </row>
    <row r="63" spans="1:95">
      <c r="A63" s="4">
        <v>4</v>
      </c>
      <c r="B63" s="15">
        <v>2</v>
      </c>
      <c r="C63" s="15">
        <v>1</v>
      </c>
      <c r="D63" s="29">
        <v>40876</v>
      </c>
      <c r="E63" s="34">
        <v>2</v>
      </c>
      <c r="F63" s="15">
        <v>1989</v>
      </c>
      <c r="G63" s="31">
        <v>4</v>
      </c>
      <c r="H63" s="31">
        <v>1</v>
      </c>
      <c r="I63" s="31">
        <v>0</v>
      </c>
      <c r="J63" s="31">
        <v>1</v>
      </c>
      <c r="K63" s="31">
        <v>1</v>
      </c>
      <c r="L63" s="31">
        <v>1</v>
      </c>
      <c r="M63" s="31">
        <v>3</v>
      </c>
      <c r="N63" s="32">
        <v>0</v>
      </c>
      <c r="O63" s="15">
        <v>0</v>
      </c>
      <c r="P63" s="15">
        <v>1</v>
      </c>
      <c r="Q63" s="15">
        <v>5</v>
      </c>
      <c r="R63" s="15">
        <v>1</v>
      </c>
      <c r="S63" s="15">
        <v>0</v>
      </c>
      <c r="T63" s="15">
        <v>1</v>
      </c>
      <c r="U63" s="15">
        <v>0</v>
      </c>
      <c r="V63" s="15">
        <v>2</v>
      </c>
      <c r="W63" s="15">
        <v>1</v>
      </c>
      <c r="X63" s="15">
        <v>3</v>
      </c>
      <c r="Y63" s="15">
        <v>2</v>
      </c>
      <c r="Z63" s="15">
        <v>3</v>
      </c>
      <c r="AA63" s="15">
        <v>2</v>
      </c>
      <c r="AB63" s="15"/>
      <c r="AC63" s="32">
        <v>4</v>
      </c>
      <c r="AD63" s="32">
        <v>2</v>
      </c>
      <c r="AE63" s="32">
        <v>4</v>
      </c>
      <c r="AF63" s="32">
        <v>3</v>
      </c>
      <c r="AG63" s="32">
        <v>3</v>
      </c>
      <c r="AH63" s="32">
        <v>4</v>
      </c>
      <c r="AI63" s="32">
        <v>2</v>
      </c>
      <c r="AJ63" s="15"/>
      <c r="AK63" s="32">
        <f t="shared" si="9"/>
        <v>0</v>
      </c>
      <c r="AL63" s="32">
        <f t="shared" si="10"/>
        <v>2</v>
      </c>
      <c r="AM63" s="32">
        <f t="shared" si="11"/>
        <v>2</v>
      </c>
      <c r="AN63" s="32">
        <f t="shared" si="12"/>
        <v>3</v>
      </c>
      <c r="AO63" s="32">
        <v>0</v>
      </c>
      <c r="AP63" s="32">
        <v>1</v>
      </c>
      <c r="AQ63" s="32">
        <v>0</v>
      </c>
      <c r="AR63" s="32">
        <v>1</v>
      </c>
      <c r="AS63" s="32">
        <v>1</v>
      </c>
      <c r="AT63" s="32">
        <v>1</v>
      </c>
      <c r="AU63" s="32">
        <v>1</v>
      </c>
      <c r="AV63" s="32">
        <v>0</v>
      </c>
      <c r="AW63" s="32">
        <v>0</v>
      </c>
      <c r="AX63" s="15"/>
      <c r="AY63" s="32">
        <v>4</v>
      </c>
      <c r="AZ63" s="32">
        <v>2</v>
      </c>
      <c r="BA63" s="32">
        <v>4</v>
      </c>
      <c r="BB63" s="32">
        <v>3</v>
      </c>
      <c r="BC63" s="32">
        <v>3</v>
      </c>
      <c r="BD63" s="32">
        <v>4</v>
      </c>
      <c r="BE63" s="32">
        <v>2</v>
      </c>
      <c r="BF63" s="15"/>
      <c r="BG63" s="32">
        <f t="shared" si="13"/>
        <v>0</v>
      </c>
      <c r="BH63" s="32">
        <f t="shared" si="14"/>
        <v>2</v>
      </c>
      <c r="BI63" s="32">
        <f t="shared" si="15"/>
        <v>2</v>
      </c>
      <c r="BJ63" s="32">
        <f t="shared" si="16"/>
        <v>3</v>
      </c>
      <c r="BK63" s="32">
        <f t="shared" si="17"/>
        <v>0</v>
      </c>
      <c r="BL63" s="32">
        <f t="shared" si="18"/>
        <v>1</v>
      </c>
      <c r="BM63" s="32">
        <f t="shared" si="19"/>
        <v>0</v>
      </c>
      <c r="BN63" s="32">
        <f t="shared" si="20"/>
        <v>1</v>
      </c>
      <c r="BO63" s="32">
        <f t="shared" si="21"/>
        <v>1</v>
      </c>
      <c r="BP63" s="32">
        <f t="shared" si="22"/>
        <v>1</v>
      </c>
      <c r="BQ63" s="32">
        <f t="shared" si="23"/>
        <v>1</v>
      </c>
      <c r="BR63" s="32">
        <f t="shared" si="24"/>
        <v>0</v>
      </c>
      <c r="BS63" s="32">
        <f t="shared" si="25"/>
        <v>0</v>
      </c>
      <c r="BT63" s="15"/>
      <c r="BU63" s="15">
        <f>SUM(Raw!AR63:AR71)</f>
        <v>4</v>
      </c>
      <c r="BV63" s="15">
        <f>SUM(Raw!AS63:AS71)</f>
        <v>0</v>
      </c>
      <c r="BW63" s="15">
        <f>SUM(Raw!AT63:AT71)</f>
        <v>5</v>
      </c>
      <c r="BX63" s="15">
        <f>SUM(Raw!AU63:AU71)</f>
        <v>0</v>
      </c>
      <c r="BY63" s="15">
        <f>SUM(Raw!AV63:AV71)</f>
        <v>2</v>
      </c>
      <c r="BZ63" s="15">
        <f>SUM(Raw!AW63:AW71)</f>
        <v>4</v>
      </c>
      <c r="CA63" s="15">
        <f>SUM(Raw!AX63:AX71)</f>
        <v>0</v>
      </c>
      <c r="CB63" s="15"/>
      <c r="CC63" s="33">
        <v>2</v>
      </c>
      <c r="CD63" s="33">
        <v>2</v>
      </c>
      <c r="CE63" s="33">
        <v>2</v>
      </c>
      <c r="CF63" s="33">
        <v>2</v>
      </c>
      <c r="CG63" s="33">
        <v>1</v>
      </c>
      <c r="CH63" s="33">
        <v>2</v>
      </c>
      <c r="CI63" s="33">
        <v>1</v>
      </c>
      <c r="CJ63" s="33">
        <v>2</v>
      </c>
      <c r="CK63" s="33">
        <v>2</v>
      </c>
      <c r="CL63" s="33">
        <v>1</v>
      </c>
      <c r="CM63" s="33">
        <v>2</v>
      </c>
      <c r="CN63" s="33">
        <v>2</v>
      </c>
      <c r="CO63" s="33">
        <v>0</v>
      </c>
      <c r="CP63" s="33">
        <v>1</v>
      </c>
      <c r="CQ63" s="33">
        <v>2</v>
      </c>
    </row>
    <row r="64" spans="1:95">
      <c r="A64" s="4">
        <v>4</v>
      </c>
      <c r="B64" s="15">
        <v>2</v>
      </c>
      <c r="C64" s="15">
        <v>2</v>
      </c>
      <c r="D64" s="29">
        <v>40876</v>
      </c>
      <c r="E64" s="34">
        <v>2</v>
      </c>
      <c r="F64" s="15">
        <v>1991</v>
      </c>
      <c r="G64" s="31">
        <v>4</v>
      </c>
      <c r="H64" s="31">
        <v>1</v>
      </c>
      <c r="I64" s="31">
        <v>1</v>
      </c>
      <c r="J64" s="31">
        <v>1</v>
      </c>
      <c r="K64" s="31">
        <v>1</v>
      </c>
      <c r="L64" s="31">
        <v>2</v>
      </c>
      <c r="M64" s="31">
        <v>3</v>
      </c>
      <c r="N64" s="32">
        <v>2</v>
      </c>
      <c r="O64" s="15">
        <v>1</v>
      </c>
      <c r="P64" s="15">
        <v>0</v>
      </c>
      <c r="Q64" s="15">
        <v>5</v>
      </c>
      <c r="R64" s="15">
        <v>2</v>
      </c>
      <c r="S64" s="15">
        <v>1</v>
      </c>
      <c r="T64" s="15">
        <v>2</v>
      </c>
      <c r="U64" s="15">
        <v>1</v>
      </c>
      <c r="V64" s="15">
        <v>2</v>
      </c>
      <c r="W64" s="15">
        <v>2</v>
      </c>
      <c r="X64" s="15">
        <v>3</v>
      </c>
      <c r="Y64" s="15">
        <v>2</v>
      </c>
      <c r="Z64" s="15">
        <v>3</v>
      </c>
      <c r="AA64" s="15">
        <v>0</v>
      </c>
      <c r="AB64" s="32">
        <v>4</v>
      </c>
      <c r="AC64" s="15"/>
      <c r="AD64" s="32">
        <v>2</v>
      </c>
      <c r="AE64" s="32">
        <v>4</v>
      </c>
      <c r="AF64" s="32">
        <v>3</v>
      </c>
      <c r="AG64" s="32">
        <v>3</v>
      </c>
      <c r="AH64" s="32">
        <v>3</v>
      </c>
      <c r="AI64" s="32">
        <v>1</v>
      </c>
      <c r="AJ64" s="15"/>
      <c r="AK64" s="32">
        <f t="shared" si="9"/>
        <v>1</v>
      </c>
      <c r="AL64" s="32">
        <f t="shared" si="10"/>
        <v>1</v>
      </c>
      <c r="AM64" s="32">
        <f t="shared" si="11"/>
        <v>3</v>
      </c>
      <c r="AN64" s="32">
        <f t="shared" si="12"/>
        <v>2</v>
      </c>
      <c r="AO64" s="32">
        <v>1</v>
      </c>
      <c r="AP64" s="32">
        <v>0</v>
      </c>
      <c r="AQ64" s="32">
        <v>0</v>
      </c>
      <c r="AR64" s="32">
        <v>1</v>
      </c>
      <c r="AS64" s="32">
        <v>1</v>
      </c>
      <c r="AT64" s="32">
        <v>1</v>
      </c>
      <c r="AU64" s="32">
        <v>1</v>
      </c>
      <c r="AV64" s="32">
        <v>0</v>
      </c>
      <c r="AW64" s="32">
        <v>0</v>
      </c>
      <c r="AX64" s="32">
        <v>4</v>
      </c>
      <c r="AY64" s="15"/>
      <c r="AZ64" s="32">
        <v>2</v>
      </c>
      <c r="BA64" s="32">
        <v>4</v>
      </c>
      <c r="BB64" s="32">
        <v>3</v>
      </c>
      <c r="BC64" s="32">
        <v>3</v>
      </c>
      <c r="BD64" s="32">
        <v>3</v>
      </c>
      <c r="BE64" s="32">
        <v>1</v>
      </c>
      <c r="BF64" s="15"/>
      <c r="BG64" s="32">
        <f t="shared" si="13"/>
        <v>1</v>
      </c>
      <c r="BH64" s="32">
        <f t="shared" si="14"/>
        <v>1</v>
      </c>
      <c r="BI64" s="32">
        <f t="shared" si="15"/>
        <v>3</v>
      </c>
      <c r="BJ64" s="32">
        <f t="shared" si="16"/>
        <v>2</v>
      </c>
      <c r="BK64" s="32">
        <f t="shared" si="17"/>
        <v>1</v>
      </c>
      <c r="BL64" s="32">
        <f t="shared" si="18"/>
        <v>0</v>
      </c>
      <c r="BM64" s="32">
        <f t="shared" si="19"/>
        <v>0</v>
      </c>
      <c r="BN64" s="32">
        <f t="shared" si="20"/>
        <v>1</v>
      </c>
      <c r="BO64" s="32">
        <f t="shared" si="21"/>
        <v>1</v>
      </c>
      <c r="BP64" s="32">
        <f t="shared" si="22"/>
        <v>1</v>
      </c>
      <c r="BQ64" s="32">
        <f t="shared" si="23"/>
        <v>1</v>
      </c>
      <c r="BR64" s="32">
        <f t="shared" si="24"/>
        <v>0</v>
      </c>
      <c r="BS64" s="32">
        <f t="shared" si="25"/>
        <v>0</v>
      </c>
      <c r="BT64" s="15">
        <f>SUM(Raw!AR63:AR71)</f>
        <v>4</v>
      </c>
      <c r="BU64" s="15"/>
      <c r="BV64" s="15">
        <f>SUM(Raw!AZ63:AZ71)</f>
        <v>0</v>
      </c>
      <c r="BW64" s="15">
        <f>SUM(Raw!BA63:BA71)</f>
        <v>5</v>
      </c>
      <c r="BX64" s="15">
        <f>SUM(Raw!BB63:BB71)</f>
        <v>0</v>
      </c>
      <c r="BY64" s="15">
        <f>SUM(Raw!BC63:BC71)</f>
        <v>0</v>
      </c>
      <c r="BZ64" s="15">
        <f>SUM(Raw!BD63:BD71)</f>
        <v>3</v>
      </c>
      <c r="CA64" s="15">
        <f>SUM(Raw!BE63:BE71)</f>
        <v>0</v>
      </c>
      <c r="CB64" s="15"/>
      <c r="CC64" s="33">
        <v>2</v>
      </c>
      <c r="CD64" s="33">
        <v>2</v>
      </c>
      <c r="CE64" s="33">
        <v>2</v>
      </c>
      <c r="CF64" s="33">
        <v>2</v>
      </c>
      <c r="CG64" s="33">
        <v>1</v>
      </c>
      <c r="CH64" s="33">
        <v>2</v>
      </c>
      <c r="CI64" s="33">
        <v>1</v>
      </c>
      <c r="CJ64" s="33">
        <v>1</v>
      </c>
      <c r="CK64" s="33">
        <v>1</v>
      </c>
      <c r="CL64" s="33">
        <v>1</v>
      </c>
      <c r="CM64" s="33">
        <v>2</v>
      </c>
      <c r="CN64" s="33">
        <v>2</v>
      </c>
      <c r="CO64" s="33">
        <v>1</v>
      </c>
      <c r="CP64" s="33">
        <v>2</v>
      </c>
      <c r="CQ64" s="33">
        <v>1</v>
      </c>
    </row>
    <row r="65" spans="1:95">
      <c r="A65" s="4">
        <v>4</v>
      </c>
      <c r="B65" s="15">
        <v>2</v>
      </c>
      <c r="C65" s="15">
        <v>3</v>
      </c>
      <c r="D65" s="29">
        <v>40876</v>
      </c>
      <c r="E65" s="34">
        <v>2</v>
      </c>
      <c r="F65" s="15">
        <v>1993</v>
      </c>
      <c r="G65" s="31">
        <v>3</v>
      </c>
      <c r="H65" s="31">
        <v>1</v>
      </c>
      <c r="I65" s="31">
        <v>0</v>
      </c>
      <c r="J65" s="31">
        <v>1</v>
      </c>
      <c r="K65" s="31">
        <v>2</v>
      </c>
      <c r="L65" s="31">
        <v>2</v>
      </c>
      <c r="M65" s="31">
        <v>3</v>
      </c>
      <c r="N65" s="32">
        <v>2</v>
      </c>
      <c r="O65" s="15">
        <v>1</v>
      </c>
      <c r="P65" s="15">
        <v>1</v>
      </c>
      <c r="Q65" s="15">
        <v>2</v>
      </c>
      <c r="R65" s="15">
        <v>1</v>
      </c>
      <c r="S65" s="15">
        <v>0</v>
      </c>
      <c r="T65" s="15">
        <v>1</v>
      </c>
      <c r="U65" s="15">
        <v>2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2</v>
      </c>
      <c r="AB65" s="32">
        <v>2</v>
      </c>
      <c r="AC65" s="32">
        <v>2</v>
      </c>
      <c r="AD65" s="15"/>
      <c r="AE65" s="32">
        <v>2</v>
      </c>
      <c r="AF65" s="32">
        <v>2</v>
      </c>
      <c r="AG65" s="32">
        <v>3</v>
      </c>
      <c r="AH65" s="32">
        <v>3</v>
      </c>
      <c r="AI65" s="32">
        <v>3</v>
      </c>
      <c r="AJ65" s="15"/>
      <c r="AK65" s="32">
        <f t="shared" si="9"/>
        <v>0</v>
      </c>
      <c r="AL65" s="32">
        <f t="shared" si="10"/>
        <v>4</v>
      </c>
      <c r="AM65" s="32">
        <f t="shared" si="11"/>
        <v>3</v>
      </c>
      <c r="AN65" s="32">
        <f t="shared" si="12"/>
        <v>0</v>
      </c>
      <c r="AO65" s="32">
        <v>0</v>
      </c>
      <c r="AP65" s="32">
        <v>0</v>
      </c>
      <c r="AQ65" s="32">
        <v>0</v>
      </c>
      <c r="AR65" s="32">
        <v>0</v>
      </c>
      <c r="AS65" s="32">
        <v>0</v>
      </c>
      <c r="AT65" s="32">
        <v>1</v>
      </c>
      <c r="AU65" s="32">
        <v>1</v>
      </c>
      <c r="AV65" s="32">
        <v>1</v>
      </c>
      <c r="AW65" s="32">
        <v>0</v>
      </c>
      <c r="AX65" s="32">
        <v>2</v>
      </c>
      <c r="AY65" s="32">
        <v>2</v>
      </c>
      <c r="AZ65" s="15"/>
      <c r="BA65" s="32">
        <v>2</v>
      </c>
      <c r="BB65" s="32">
        <v>2</v>
      </c>
      <c r="BC65" s="32">
        <v>3</v>
      </c>
      <c r="BD65" s="32">
        <v>3</v>
      </c>
      <c r="BE65" s="32">
        <v>3</v>
      </c>
      <c r="BF65" s="15"/>
      <c r="BG65" s="32">
        <f t="shared" si="13"/>
        <v>0</v>
      </c>
      <c r="BH65" s="32">
        <f t="shared" si="14"/>
        <v>4</v>
      </c>
      <c r="BI65" s="32">
        <f t="shared" si="15"/>
        <v>3</v>
      </c>
      <c r="BJ65" s="32">
        <f t="shared" si="16"/>
        <v>0</v>
      </c>
      <c r="BK65" s="32">
        <f t="shared" si="17"/>
        <v>0</v>
      </c>
      <c r="BL65" s="32">
        <f t="shared" si="18"/>
        <v>0</v>
      </c>
      <c r="BM65" s="32">
        <f t="shared" si="19"/>
        <v>0</v>
      </c>
      <c r="BN65" s="32">
        <f t="shared" si="20"/>
        <v>0</v>
      </c>
      <c r="BO65" s="32">
        <f t="shared" si="21"/>
        <v>0</v>
      </c>
      <c r="BP65" s="32">
        <f t="shared" si="22"/>
        <v>1</v>
      </c>
      <c r="BQ65" s="32">
        <f t="shared" si="23"/>
        <v>1</v>
      </c>
      <c r="BR65" s="32">
        <f t="shared" si="24"/>
        <v>1</v>
      </c>
      <c r="BS65" s="32">
        <f t="shared" si="25"/>
        <v>0</v>
      </c>
      <c r="BT65" s="15">
        <f>SUM(Raw!AS63:AS71)</f>
        <v>0</v>
      </c>
      <c r="BU65" s="15">
        <f>SUM(Raw!AZ63:AZ71)</f>
        <v>0</v>
      </c>
      <c r="BV65" s="15"/>
      <c r="BW65" s="15">
        <f>SUM(Raw!BG63:BG70)</f>
        <v>0</v>
      </c>
      <c r="BX65" s="15">
        <f>SUM(Raw!BH63:BH70)</f>
        <v>0</v>
      </c>
      <c r="BY65" s="15">
        <f>SUM(Raw!BI63:BI70)</f>
        <v>0</v>
      </c>
      <c r="BZ65" s="15">
        <f>SUM(Raw!BJ63:BJ70)</f>
        <v>0</v>
      </c>
      <c r="CA65" s="15">
        <f>SUM(Raw!BK63:BK70)</f>
        <v>1</v>
      </c>
      <c r="CB65" s="15"/>
      <c r="CC65" s="33">
        <v>2</v>
      </c>
      <c r="CD65" s="33">
        <v>2</v>
      </c>
      <c r="CE65" s="33">
        <v>1</v>
      </c>
      <c r="CF65" s="33">
        <v>1</v>
      </c>
      <c r="CG65" s="33">
        <v>1</v>
      </c>
      <c r="CH65" s="33">
        <v>1</v>
      </c>
      <c r="CI65" s="33">
        <v>0</v>
      </c>
      <c r="CJ65" s="33">
        <v>2</v>
      </c>
      <c r="CK65" s="33">
        <v>2</v>
      </c>
      <c r="CL65" s="33">
        <v>1</v>
      </c>
      <c r="CM65" s="33">
        <v>1</v>
      </c>
      <c r="CN65" s="33">
        <v>2</v>
      </c>
      <c r="CO65" s="33">
        <v>1</v>
      </c>
      <c r="CP65" s="33">
        <v>1</v>
      </c>
      <c r="CQ65" s="33">
        <v>1</v>
      </c>
    </row>
    <row r="66" spans="1:95">
      <c r="A66" s="4">
        <v>4</v>
      </c>
      <c r="B66" s="15">
        <v>2</v>
      </c>
      <c r="C66" s="15">
        <v>4</v>
      </c>
      <c r="D66" s="29">
        <v>40876</v>
      </c>
      <c r="E66" s="34">
        <v>2</v>
      </c>
      <c r="F66" s="15">
        <v>1992</v>
      </c>
      <c r="G66" s="31">
        <v>4</v>
      </c>
      <c r="H66" s="31">
        <v>1</v>
      </c>
      <c r="I66" s="31">
        <v>1</v>
      </c>
      <c r="J66" s="31">
        <v>1</v>
      </c>
      <c r="K66" s="31">
        <v>2</v>
      </c>
      <c r="L66" s="31">
        <v>2</v>
      </c>
      <c r="M66" s="31">
        <v>3</v>
      </c>
      <c r="N66" s="32">
        <v>0</v>
      </c>
      <c r="O66" s="15">
        <v>0</v>
      </c>
      <c r="P66" s="15">
        <v>1</v>
      </c>
      <c r="Q66" s="15">
        <v>6</v>
      </c>
      <c r="R66" s="15">
        <v>1</v>
      </c>
      <c r="S66" s="15">
        <v>0</v>
      </c>
      <c r="T66" s="15">
        <v>1</v>
      </c>
      <c r="U66" s="15">
        <v>1</v>
      </c>
      <c r="V66" s="15">
        <v>1</v>
      </c>
      <c r="W66" s="15">
        <v>1</v>
      </c>
      <c r="X66" s="15">
        <v>1</v>
      </c>
      <c r="Y66" s="15">
        <v>0</v>
      </c>
      <c r="Z66" s="15">
        <v>2</v>
      </c>
      <c r="AA66" s="15">
        <v>0</v>
      </c>
      <c r="AB66" s="32">
        <v>3</v>
      </c>
      <c r="AC66" s="32">
        <v>4</v>
      </c>
      <c r="AD66" s="15"/>
      <c r="AE66" s="15"/>
      <c r="AF66" s="32">
        <v>3</v>
      </c>
      <c r="AG66" s="32">
        <v>3</v>
      </c>
      <c r="AH66" s="32">
        <v>3</v>
      </c>
      <c r="AI66" s="32">
        <v>2</v>
      </c>
      <c r="AJ66" s="15"/>
      <c r="AK66" s="32">
        <f t="shared" si="9"/>
        <v>0</v>
      </c>
      <c r="AL66" s="32">
        <f t="shared" si="10"/>
        <v>1</v>
      </c>
      <c r="AM66" s="32">
        <f t="shared" si="11"/>
        <v>4</v>
      </c>
      <c r="AN66" s="32">
        <f t="shared" si="12"/>
        <v>1</v>
      </c>
      <c r="AO66" s="32">
        <v>1</v>
      </c>
      <c r="AP66" s="32">
        <v>1</v>
      </c>
      <c r="AQ66" s="32">
        <v>0</v>
      </c>
      <c r="AR66" s="32">
        <v>0</v>
      </c>
      <c r="AS66" s="32">
        <v>1</v>
      </c>
      <c r="AT66" s="32">
        <v>1</v>
      </c>
      <c r="AU66" s="32">
        <v>1</v>
      </c>
      <c r="AV66" s="32">
        <v>0</v>
      </c>
      <c r="AW66" s="32">
        <v>0</v>
      </c>
      <c r="AX66" s="32">
        <v>3</v>
      </c>
      <c r="AY66" s="32">
        <v>4</v>
      </c>
      <c r="AZ66" s="15"/>
      <c r="BA66" s="15"/>
      <c r="BB66" s="32">
        <v>3</v>
      </c>
      <c r="BC66" s="32">
        <v>3</v>
      </c>
      <c r="BD66" s="32">
        <v>3</v>
      </c>
      <c r="BE66" s="32">
        <v>2</v>
      </c>
      <c r="BF66" s="15"/>
      <c r="BG66" s="32">
        <f t="shared" si="13"/>
        <v>0</v>
      </c>
      <c r="BH66" s="32">
        <f t="shared" si="14"/>
        <v>1</v>
      </c>
      <c r="BI66" s="32">
        <f t="shared" si="15"/>
        <v>4</v>
      </c>
      <c r="BJ66" s="32">
        <f t="shared" si="16"/>
        <v>1</v>
      </c>
      <c r="BK66" s="32">
        <f t="shared" ref="BK66:BK71" si="26">IF(AND(OR(AB66=3,AB66=4),OR(AX66=3,AX66=4)),1,0)</f>
        <v>1</v>
      </c>
      <c r="BL66" s="32">
        <f t="shared" ref="BL66:BL71" si="27">IF(AND(OR(AC66=3,AC66=4),OR(AY66=3,AY66=4)),1,0)</f>
        <v>1</v>
      </c>
      <c r="BM66" s="32">
        <f t="shared" ref="BM66:BM71" si="28">IF(AND(OR(AD66=3,AD66=4),OR(AZ66=3,AZ66=4)),1,0)</f>
        <v>0</v>
      </c>
      <c r="BN66" s="32">
        <f t="shared" ref="BN66:BN71" si="29">IF(AND(OR(AE66=3,AE66=4),OR(BA66=3,BA66=4)),1,0)</f>
        <v>0</v>
      </c>
      <c r="BO66" s="32">
        <f t="shared" ref="BO66:BO71" si="30">IF(AND(OR(AF66=3,AF66=4),OR(BB66=3,BB66=4)),1,0)</f>
        <v>1</v>
      </c>
      <c r="BP66" s="32">
        <f t="shared" ref="BP66:BP71" si="31">IF(AND(OR(AG66=3,AG66=4),OR(BC66=3,BC66=4)),1,0)</f>
        <v>1</v>
      </c>
      <c r="BQ66" s="32">
        <f t="shared" ref="BQ66:BQ71" si="32">IF(AND(OR(AH66=3,AH66=4),OR(BD66=3,BD66=4)),1,0)</f>
        <v>1</v>
      </c>
      <c r="BR66" s="32">
        <f t="shared" ref="BR66:BR71" si="33">IF(AND(OR(AI66=3,AI66=4),OR(BE66=3,BE66=4)),1,0)</f>
        <v>0</v>
      </c>
      <c r="BS66" s="32">
        <f t="shared" ref="BS66:BS71" si="34">IF(AND(OR(AJ66=3,AJ66=4),OR(BF66=3,BF66=4)),1,0)</f>
        <v>0</v>
      </c>
      <c r="BT66" s="15">
        <f>SUM(Raw!AT63:AT71)</f>
        <v>5</v>
      </c>
      <c r="BU66" s="15">
        <f>SUM(Raw!BA63:BA71)</f>
        <v>5</v>
      </c>
      <c r="BV66" s="15">
        <f>SUM(Raw!BG63:BG71)</f>
        <v>0</v>
      </c>
      <c r="BW66" s="15"/>
      <c r="BX66" s="15">
        <f>SUM(Raw!BM63:BM71)</f>
        <v>1</v>
      </c>
      <c r="BY66" s="15">
        <f>SUM(Raw!BN63:BN71)</f>
        <v>3</v>
      </c>
      <c r="BZ66" s="15">
        <f>SUM(Raw!BO63:BO71)</f>
        <v>3</v>
      </c>
      <c r="CA66" s="15">
        <f>SUM(Raw!BP63:BP71)</f>
        <v>1</v>
      </c>
      <c r="CB66" s="15"/>
      <c r="CC66" s="33">
        <v>2</v>
      </c>
      <c r="CD66" s="33">
        <v>1</v>
      </c>
      <c r="CE66" s="33">
        <v>2</v>
      </c>
      <c r="CF66" s="33">
        <v>1</v>
      </c>
      <c r="CG66" s="33">
        <v>2</v>
      </c>
      <c r="CH66" s="33">
        <v>1</v>
      </c>
      <c r="CI66" s="33">
        <v>0</v>
      </c>
      <c r="CJ66" s="33">
        <v>2</v>
      </c>
      <c r="CK66" s="33">
        <v>1</v>
      </c>
      <c r="CL66" s="33">
        <v>0</v>
      </c>
      <c r="CM66" s="33">
        <v>2</v>
      </c>
      <c r="CN66" s="33">
        <v>1</v>
      </c>
      <c r="CO66" s="33">
        <v>0</v>
      </c>
      <c r="CP66" s="33">
        <v>2</v>
      </c>
      <c r="CQ66" s="33">
        <v>1</v>
      </c>
    </row>
    <row r="67" spans="1:95">
      <c r="A67" s="4">
        <v>4</v>
      </c>
      <c r="B67" s="15">
        <v>2</v>
      </c>
      <c r="C67" s="15">
        <v>5</v>
      </c>
      <c r="D67" s="29">
        <v>40876</v>
      </c>
      <c r="E67" s="34">
        <v>2</v>
      </c>
      <c r="F67" s="15"/>
      <c r="G67" s="31">
        <v>4</v>
      </c>
      <c r="H67" s="31">
        <v>1</v>
      </c>
      <c r="I67" s="31">
        <v>0</v>
      </c>
      <c r="J67" s="31">
        <v>1</v>
      </c>
      <c r="K67" s="31">
        <v>1</v>
      </c>
      <c r="L67" s="31">
        <v>2</v>
      </c>
      <c r="M67" s="15"/>
      <c r="N67" s="15"/>
      <c r="O67" s="15"/>
      <c r="P67" s="15"/>
      <c r="Q67" s="15">
        <v>1</v>
      </c>
      <c r="R67" s="15">
        <v>2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1</v>
      </c>
      <c r="Y67" s="15">
        <v>0</v>
      </c>
      <c r="Z67" s="15">
        <v>2</v>
      </c>
      <c r="AA67" s="15">
        <v>0</v>
      </c>
      <c r="AB67" s="32">
        <v>3</v>
      </c>
      <c r="AC67" s="32">
        <v>3</v>
      </c>
      <c r="AD67" s="32">
        <v>2</v>
      </c>
      <c r="AE67" s="32">
        <v>3</v>
      </c>
      <c r="AF67" s="15"/>
      <c r="AG67" s="32">
        <v>3</v>
      </c>
      <c r="AH67" s="32">
        <v>3</v>
      </c>
      <c r="AI67" s="32">
        <v>2</v>
      </c>
      <c r="AJ67" s="15"/>
      <c r="AK67" s="32">
        <f>COUNTIF(AB67:AJ67,1)</f>
        <v>0</v>
      </c>
      <c r="AL67" s="32">
        <f>COUNTIF(AB67:AJ67,2)</f>
        <v>2</v>
      </c>
      <c r="AM67" s="32">
        <f>COUNTIF(AB67:AJ67,3)</f>
        <v>5</v>
      </c>
      <c r="AN67" s="32">
        <f>COUNTIF(AB67:AJ67,4)</f>
        <v>0</v>
      </c>
      <c r="AO67" s="32">
        <v>1</v>
      </c>
      <c r="AP67" s="32">
        <v>1</v>
      </c>
      <c r="AQ67" s="32">
        <v>0</v>
      </c>
      <c r="AR67" s="32">
        <v>1</v>
      </c>
      <c r="AS67" s="32">
        <v>0</v>
      </c>
      <c r="AT67" s="32">
        <v>1</v>
      </c>
      <c r="AU67" s="32">
        <v>1</v>
      </c>
      <c r="AV67" s="32">
        <v>0</v>
      </c>
      <c r="AW67" s="32">
        <v>0</v>
      </c>
      <c r="AX67" s="32">
        <v>3</v>
      </c>
      <c r="AY67" s="32">
        <v>3</v>
      </c>
      <c r="AZ67" s="32">
        <v>2</v>
      </c>
      <c r="BA67" s="32">
        <v>3</v>
      </c>
      <c r="BB67" s="15"/>
      <c r="BC67" s="32">
        <v>3</v>
      </c>
      <c r="BD67" s="32">
        <v>3</v>
      </c>
      <c r="BE67" s="32">
        <v>2</v>
      </c>
      <c r="BF67" s="15"/>
      <c r="BG67" s="32">
        <f>COUNTIF(AX67:BF67,1)</f>
        <v>0</v>
      </c>
      <c r="BH67" s="32">
        <f>COUNTIF(AX67:BF67,2)</f>
        <v>2</v>
      </c>
      <c r="BI67" s="32">
        <f>COUNTIF(AX67:BF67,3)</f>
        <v>5</v>
      </c>
      <c r="BJ67" s="32">
        <f>COUNTIF(AX67:BF67,4)</f>
        <v>0</v>
      </c>
      <c r="BK67" s="32">
        <f t="shared" si="26"/>
        <v>1</v>
      </c>
      <c r="BL67" s="32">
        <f t="shared" si="27"/>
        <v>1</v>
      </c>
      <c r="BM67" s="32">
        <f t="shared" si="28"/>
        <v>0</v>
      </c>
      <c r="BN67" s="32">
        <f t="shared" si="29"/>
        <v>1</v>
      </c>
      <c r="BO67" s="32">
        <f t="shared" si="30"/>
        <v>0</v>
      </c>
      <c r="BP67" s="32">
        <f t="shared" si="31"/>
        <v>1</v>
      </c>
      <c r="BQ67" s="32">
        <f t="shared" si="32"/>
        <v>1</v>
      </c>
      <c r="BR67" s="32">
        <f t="shared" si="33"/>
        <v>0</v>
      </c>
      <c r="BS67" s="32">
        <f t="shared" si="34"/>
        <v>0</v>
      </c>
      <c r="BT67" s="15">
        <f>SUM(Raw!AU63:AU71)</f>
        <v>0</v>
      </c>
      <c r="BU67" s="15">
        <f>SUM(Raw!BB63:BB71)</f>
        <v>0</v>
      </c>
      <c r="BV67" s="15">
        <f>SUM(Raw!BH63:BH71)</f>
        <v>0</v>
      </c>
      <c r="BW67" s="15">
        <f>SUM(Raw!BM63:BM71)</f>
        <v>1</v>
      </c>
      <c r="BX67" s="15"/>
      <c r="BY67" s="15">
        <f>SUM(Raw!BR63:BR71)</f>
        <v>5</v>
      </c>
      <c r="BZ67" s="15">
        <f>SUM(Raw!BS63:BS71)</f>
        <v>1</v>
      </c>
      <c r="CA67" s="15">
        <f>SUM(Raw!BT63:BT71)</f>
        <v>1</v>
      </c>
      <c r="CB67" s="15"/>
      <c r="CC67" s="33">
        <v>2</v>
      </c>
      <c r="CD67" s="33">
        <v>2</v>
      </c>
      <c r="CE67" s="33">
        <v>2</v>
      </c>
      <c r="CF67" s="33">
        <v>2</v>
      </c>
      <c r="CG67" s="33">
        <v>2</v>
      </c>
      <c r="CH67" s="33">
        <v>2</v>
      </c>
      <c r="CI67" s="33">
        <v>0</v>
      </c>
      <c r="CJ67" s="33">
        <v>2</v>
      </c>
      <c r="CK67" s="33">
        <v>2</v>
      </c>
      <c r="CL67" s="33">
        <v>0</v>
      </c>
      <c r="CM67" s="33">
        <v>2</v>
      </c>
      <c r="CN67" s="33">
        <v>2</v>
      </c>
      <c r="CO67" s="33">
        <v>0</v>
      </c>
      <c r="CP67" s="33">
        <v>2</v>
      </c>
      <c r="CQ67" s="33">
        <v>2</v>
      </c>
    </row>
    <row r="68" spans="1:95">
      <c r="A68" s="4">
        <v>4</v>
      </c>
      <c r="B68" s="15">
        <v>2</v>
      </c>
      <c r="C68" s="15">
        <v>6</v>
      </c>
      <c r="D68" s="29">
        <v>40876</v>
      </c>
      <c r="E68" s="34">
        <v>2</v>
      </c>
      <c r="F68" s="15">
        <v>1992</v>
      </c>
      <c r="G68" s="31">
        <v>3</v>
      </c>
      <c r="H68" s="31">
        <v>1</v>
      </c>
      <c r="I68" s="31">
        <v>0</v>
      </c>
      <c r="J68" s="31">
        <v>1</v>
      </c>
      <c r="K68" s="31">
        <v>2</v>
      </c>
      <c r="L68" s="31">
        <v>1</v>
      </c>
      <c r="M68" s="31">
        <v>2</v>
      </c>
      <c r="N68" s="32">
        <v>0</v>
      </c>
      <c r="O68" s="15">
        <v>2</v>
      </c>
      <c r="P68" s="15">
        <v>1</v>
      </c>
      <c r="Q68" s="15">
        <v>3</v>
      </c>
      <c r="R68" s="15">
        <v>0</v>
      </c>
      <c r="S68" s="15">
        <v>0</v>
      </c>
      <c r="T68" s="15">
        <v>2</v>
      </c>
      <c r="U68" s="15">
        <v>0</v>
      </c>
      <c r="V68" s="15">
        <v>0</v>
      </c>
      <c r="W68" s="15">
        <v>0</v>
      </c>
      <c r="X68" s="15">
        <v>2</v>
      </c>
      <c r="Y68" s="15">
        <v>0</v>
      </c>
      <c r="Z68" s="15">
        <v>0</v>
      </c>
      <c r="AA68" s="15">
        <v>0</v>
      </c>
      <c r="AB68" s="32">
        <v>3</v>
      </c>
      <c r="AC68" s="32">
        <v>3</v>
      </c>
      <c r="AD68" s="32">
        <v>3</v>
      </c>
      <c r="AE68" s="32">
        <v>3</v>
      </c>
      <c r="AF68" s="32">
        <v>3</v>
      </c>
      <c r="AG68" s="15"/>
      <c r="AH68" s="32">
        <v>3</v>
      </c>
      <c r="AI68" s="32">
        <v>2</v>
      </c>
      <c r="AJ68" s="15"/>
      <c r="AK68" s="32">
        <f>COUNTIF(AB68:AJ68,1)</f>
        <v>0</v>
      </c>
      <c r="AL68" s="32">
        <f>COUNTIF(AB68:AJ68,2)</f>
        <v>1</v>
      </c>
      <c r="AM68" s="32">
        <f>COUNTIF(AB68:AJ68,3)</f>
        <v>6</v>
      </c>
      <c r="AN68" s="32">
        <f>COUNTIF(AB68:AJ68,4)</f>
        <v>0</v>
      </c>
      <c r="AO68" s="32">
        <v>1</v>
      </c>
      <c r="AP68" s="32">
        <v>1</v>
      </c>
      <c r="AQ68" s="32">
        <v>1</v>
      </c>
      <c r="AR68" s="32">
        <v>1</v>
      </c>
      <c r="AS68" s="32">
        <v>1</v>
      </c>
      <c r="AT68" s="32">
        <v>0</v>
      </c>
      <c r="AU68" s="32">
        <v>1</v>
      </c>
      <c r="AV68" s="32">
        <v>0</v>
      </c>
      <c r="AW68" s="32">
        <v>0</v>
      </c>
      <c r="AX68" s="32">
        <v>3</v>
      </c>
      <c r="AY68" s="32">
        <v>2</v>
      </c>
      <c r="AZ68" s="32">
        <v>3</v>
      </c>
      <c r="BA68" s="32">
        <v>3</v>
      </c>
      <c r="BB68" s="32">
        <v>3</v>
      </c>
      <c r="BC68" s="15"/>
      <c r="BD68" s="32">
        <v>2</v>
      </c>
      <c r="BE68" s="32">
        <v>2</v>
      </c>
      <c r="BF68" s="15"/>
      <c r="BG68" s="32">
        <f>COUNTIF(AX68:BF68,1)</f>
        <v>0</v>
      </c>
      <c r="BH68" s="32">
        <f>COUNTIF(AX68:BF68,2)</f>
        <v>3</v>
      </c>
      <c r="BI68" s="32">
        <f>COUNTIF(AX68:BF68,3)</f>
        <v>4</v>
      </c>
      <c r="BJ68" s="32">
        <f>COUNTIF(AX68:BF68,4)</f>
        <v>0</v>
      </c>
      <c r="BK68" s="32">
        <f t="shared" si="26"/>
        <v>1</v>
      </c>
      <c r="BL68" s="32">
        <f t="shared" si="27"/>
        <v>0</v>
      </c>
      <c r="BM68" s="32">
        <f t="shared" si="28"/>
        <v>1</v>
      </c>
      <c r="BN68" s="32">
        <f t="shared" si="29"/>
        <v>1</v>
      </c>
      <c r="BO68" s="32">
        <f t="shared" si="30"/>
        <v>1</v>
      </c>
      <c r="BP68" s="32">
        <f t="shared" si="31"/>
        <v>0</v>
      </c>
      <c r="BQ68" s="32">
        <f t="shared" si="32"/>
        <v>0</v>
      </c>
      <c r="BR68" s="32">
        <f t="shared" si="33"/>
        <v>0</v>
      </c>
      <c r="BS68" s="32">
        <f t="shared" si="34"/>
        <v>0</v>
      </c>
      <c r="BT68" s="15">
        <f>SUM(Raw!AV63:AV71)</f>
        <v>2</v>
      </c>
      <c r="BU68" s="15">
        <f>SUM(Raw!BC63:BC71)</f>
        <v>0</v>
      </c>
      <c r="BV68" s="15">
        <f>SUM(Raw!BI63:BI71)</f>
        <v>0</v>
      </c>
      <c r="BW68" s="15">
        <f>SUM(Raw!BN63:BN71)</f>
        <v>3</v>
      </c>
      <c r="BX68" s="15">
        <f>SUM(Raw!BR63:BR71)</f>
        <v>5</v>
      </c>
      <c r="BY68" s="15"/>
      <c r="BZ68" s="15">
        <f>SUM(Raw!BV63:BV71)</f>
        <v>1</v>
      </c>
      <c r="CA68" s="15">
        <f>SUM(Raw!BW63:BW71)</f>
        <v>0</v>
      </c>
      <c r="CB68" s="15"/>
      <c r="CC68" s="33">
        <v>2</v>
      </c>
      <c r="CD68" s="33">
        <v>2</v>
      </c>
      <c r="CE68" s="33">
        <v>2</v>
      </c>
      <c r="CF68" s="33">
        <v>2</v>
      </c>
      <c r="CG68" s="33">
        <v>2</v>
      </c>
      <c r="CH68" s="33">
        <v>1</v>
      </c>
      <c r="CI68" s="33">
        <v>1</v>
      </c>
      <c r="CJ68" s="33">
        <v>2</v>
      </c>
      <c r="CK68" s="33">
        <v>2</v>
      </c>
      <c r="CL68" s="33">
        <v>1</v>
      </c>
      <c r="CM68" s="33">
        <v>1</v>
      </c>
      <c r="CN68" s="33">
        <v>1</v>
      </c>
      <c r="CO68" s="33">
        <v>0</v>
      </c>
      <c r="CP68" s="33">
        <v>1</v>
      </c>
      <c r="CQ68" s="33">
        <v>1</v>
      </c>
    </row>
    <row r="69" spans="1:95">
      <c r="A69" s="4">
        <v>4</v>
      </c>
      <c r="B69" s="15">
        <v>2</v>
      </c>
      <c r="C69" s="15">
        <v>7</v>
      </c>
      <c r="D69" s="29">
        <v>40883</v>
      </c>
      <c r="E69" s="34">
        <v>2</v>
      </c>
      <c r="F69" s="15">
        <v>1988</v>
      </c>
      <c r="G69" s="31">
        <v>3</v>
      </c>
      <c r="H69" s="31">
        <v>1</v>
      </c>
      <c r="I69" s="31">
        <v>0</v>
      </c>
      <c r="J69" s="31">
        <v>1</v>
      </c>
      <c r="K69" s="31">
        <v>2</v>
      </c>
      <c r="L69" s="31">
        <v>1</v>
      </c>
      <c r="M69" s="31">
        <v>2</v>
      </c>
      <c r="N69" s="32">
        <v>0</v>
      </c>
      <c r="O69" s="15">
        <v>4</v>
      </c>
      <c r="P69" s="15">
        <v>1</v>
      </c>
      <c r="Q69" s="15">
        <v>4</v>
      </c>
      <c r="R69" s="15">
        <v>2</v>
      </c>
      <c r="S69" s="15">
        <v>0</v>
      </c>
      <c r="T69" s="15">
        <v>3</v>
      </c>
      <c r="U69" s="15">
        <v>1</v>
      </c>
      <c r="V69" s="15">
        <v>0</v>
      </c>
      <c r="W69" s="15">
        <v>1</v>
      </c>
      <c r="X69" s="15">
        <v>4</v>
      </c>
      <c r="Y69" s="15">
        <v>1</v>
      </c>
      <c r="Z69" s="15">
        <v>0</v>
      </c>
      <c r="AA69" s="15">
        <v>2</v>
      </c>
      <c r="AB69" s="32">
        <v>4</v>
      </c>
      <c r="AC69" s="32">
        <v>4</v>
      </c>
      <c r="AD69" s="32">
        <v>3</v>
      </c>
      <c r="AE69" s="32">
        <v>4</v>
      </c>
      <c r="AF69" s="32">
        <v>3</v>
      </c>
      <c r="AG69" s="32">
        <v>3</v>
      </c>
      <c r="AH69" s="15"/>
      <c r="AI69" s="32">
        <v>3</v>
      </c>
      <c r="AJ69" s="15"/>
      <c r="AK69" s="32">
        <f>COUNTIF(AB69:AJ69,1)</f>
        <v>0</v>
      </c>
      <c r="AL69" s="32">
        <f>COUNTIF(AB69:AJ69,2)</f>
        <v>0</v>
      </c>
      <c r="AM69" s="32">
        <f>COUNTIF(AB69:AJ69,3)</f>
        <v>4</v>
      </c>
      <c r="AN69" s="32">
        <f>COUNTIF(AB69:AJ69,4)</f>
        <v>3</v>
      </c>
      <c r="AO69" s="32">
        <v>1</v>
      </c>
      <c r="AP69" s="32">
        <v>1</v>
      </c>
      <c r="AQ69" s="32">
        <v>1</v>
      </c>
      <c r="AR69" s="32">
        <v>1</v>
      </c>
      <c r="AS69" s="32">
        <v>1</v>
      </c>
      <c r="AT69" s="32">
        <v>1</v>
      </c>
      <c r="AU69" s="32">
        <v>0</v>
      </c>
      <c r="AV69" s="32">
        <v>1</v>
      </c>
      <c r="AW69" s="32">
        <v>0</v>
      </c>
      <c r="AX69" s="32">
        <v>4</v>
      </c>
      <c r="AY69" s="32">
        <v>4</v>
      </c>
      <c r="AZ69" s="32">
        <v>3</v>
      </c>
      <c r="BA69" s="32">
        <v>4</v>
      </c>
      <c r="BB69" s="32">
        <v>3</v>
      </c>
      <c r="BC69" s="32">
        <v>3</v>
      </c>
      <c r="BD69" s="15"/>
      <c r="BE69" s="32">
        <v>3</v>
      </c>
      <c r="BF69" s="15"/>
      <c r="BG69" s="32">
        <f>COUNTIF(AX69:BF69,1)</f>
        <v>0</v>
      </c>
      <c r="BH69" s="32">
        <f>COUNTIF(AX69:BF69,2)</f>
        <v>0</v>
      </c>
      <c r="BI69" s="32">
        <f>COUNTIF(AX69:BF69,3)</f>
        <v>4</v>
      </c>
      <c r="BJ69" s="32">
        <f>COUNTIF(AX69:BF69,4)</f>
        <v>3</v>
      </c>
      <c r="BK69" s="32">
        <f t="shared" si="26"/>
        <v>1</v>
      </c>
      <c r="BL69" s="32">
        <f t="shared" si="27"/>
        <v>1</v>
      </c>
      <c r="BM69" s="32">
        <f t="shared" si="28"/>
        <v>1</v>
      </c>
      <c r="BN69" s="32">
        <f t="shared" si="29"/>
        <v>1</v>
      </c>
      <c r="BO69" s="32">
        <f t="shared" si="30"/>
        <v>1</v>
      </c>
      <c r="BP69" s="32">
        <f t="shared" si="31"/>
        <v>1</v>
      </c>
      <c r="BQ69" s="32">
        <f t="shared" si="32"/>
        <v>0</v>
      </c>
      <c r="BR69" s="32">
        <f t="shared" si="33"/>
        <v>1</v>
      </c>
      <c r="BS69" s="32">
        <f t="shared" si="34"/>
        <v>0</v>
      </c>
      <c r="BT69" s="15">
        <f>SUM(Raw!AW63:AW71)</f>
        <v>4</v>
      </c>
      <c r="BU69" s="15">
        <f>SUM(Raw!BD63:BD71)</f>
        <v>3</v>
      </c>
      <c r="BV69" s="15">
        <f>SUM(Raw!BJ63:BJ71)</f>
        <v>0</v>
      </c>
      <c r="BW69" s="15">
        <f>SUM(Raw!BO63:BO71)</f>
        <v>3</v>
      </c>
      <c r="BX69" s="15">
        <f>SUM(Raw!BS63:BS71)</f>
        <v>1</v>
      </c>
      <c r="BY69" s="15">
        <f>SUM(Raw!BV63:BV71)</f>
        <v>1</v>
      </c>
      <c r="BZ69" s="15"/>
      <c r="CA69" s="15">
        <f>SUM(Raw!BW63:BW71)</f>
        <v>0</v>
      </c>
      <c r="CB69" s="15"/>
      <c r="CC69" s="33">
        <v>2</v>
      </c>
      <c r="CD69" s="33">
        <v>2</v>
      </c>
      <c r="CE69" s="33">
        <v>2</v>
      </c>
      <c r="CF69" s="33">
        <v>2</v>
      </c>
      <c r="CG69" s="33">
        <v>2</v>
      </c>
      <c r="CH69" s="33">
        <v>2</v>
      </c>
      <c r="CI69" s="33">
        <v>0</v>
      </c>
      <c r="CJ69" s="33">
        <v>1</v>
      </c>
      <c r="CK69" s="33">
        <v>1</v>
      </c>
      <c r="CL69" s="33">
        <v>0</v>
      </c>
      <c r="CM69" s="33">
        <v>1</v>
      </c>
      <c r="CN69" s="33">
        <v>1</v>
      </c>
      <c r="CO69" s="33">
        <v>0</v>
      </c>
      <c r="CP69" s="33">
        <v>1</v>
      </c>
      <c r="CQ69" s="33">
        <v>1</v>
      </c>
    </row>
    <row r="70" spans="1:95">
      <c r="A70" s="4">
        <v>4</v>
      </c>
      <c r="B70" s="15">
        <v>2</v>
      </c>
      <c r="C70" s="15">
        <v>8</v>
      </c>
      <c r="D70" s="29">
        <v>40876</v>
      </c>
      <c r="E70" s="34">
        <v>2</v>
      </c>
      <c r="F70" s="15">
        <v>1989</v>
      </c>
      <c r="G70" s="31">
        <v>6</v>
      </c>
      <c r="H70" s="31">
        <v>1</v>
      </c>
      <c r="I70" s="31">
        <v>0</v>
      </c>
      <c r="J70" s="31">
        <v>1</v>
      </c>
      <c r="K70" s="31">
        <v>2</v>
      </c>
      <c r="L70" s="31">
        <v>2</v>
      </c>
      <c r="M70" s="31">
        <v>3</v>
      </c>
      <c r="N70" s="15">
        <v>5</v>
      </c>
      <c r="O70" s="15">
        <v>0</v>
      </c>
      <c r="P70" s="15">
        <v>1</v>
      </c>
      <c r="Q70" s="15">
        <v>1</v>
      </c>
      <c r="R70" s="15">
        <v>2</v>
      </c>
      <c r="S70" s="15">
        <v>1</v>
      </c>
      <c r="T70" s="15">
        <v>2</v>
      </c>
      <c r="U70" s="15">
        <v>0</v>
      </c>
      <c r="V70" s="15">
        <v>1</v>
      </c>
      <c r="W70" s="15">
        <v>1</v>
      </c>
      <c r="X70" s="15">
        <v>0</v>
      </c>
      <c r="Y70" s="15">
        <v>0</v>
      </c>
      <c r="Z70" s="15">
        <v>0</v>
      </c>
      <c r="AA70" s="15">
        <v>0</v>
      </c>
      <c r="AB70" s="32">
        <v>2</v>
      </c>
      <c r="AC70" s="32">
        <v>2</v>
      </c>
      <c r="AD70" s="32">
        <v>3</v>
      </c>
      <c r="AE70" s="32">
        <v>2</v>
      </c>
      <c r="AF70" s="32">
        <v>2</v>
      </c>
      <c r="AG70" s="32">
        <v>3</v>
      </c>
      <c r="AH70" s="32">
        <v>3</v>
      </c>
      <c r="AI70" s="15"/>
      <c r="AJ70" s="15"/>
      <c r="AK70" s="32">
        <f>COUNTIF(AB70:AJ70,1)</f>
        <v>0</v>
      </c>
      <c r="AL70" s="32">
        <f>COUNTIF(AB70:AJ70,2)</f>
        <v>4</v>
      </c>
      <c r="AM70" s="32">
        <f>COUNTIF(AB70:AJ70,3)</f>
        <v>3</v>
      </c>
      <c r="AN70" s="32">
        <f>COUNTIF(AB70:AJ70,4)</f>
        <v>0</v>
      </c>
      <c r="AO70" s="32">
        <v>0</v>
      </c>
      <c r="AP70" s="32">
        <v>0</v>
      </c>
      <c r="AQ70" s="32">
        <v>1</v>
      </c>
      <c r="AR70" s="32">
        <v>0</v>
      </c>
      <c r="AS70" s="32">
        <v>0</v>
      </c>
      <c r="AT70" s="32">
        <v>0</v>
      </c>
      <c r="AU70" s="32">
        <v>1</v>
      </c>
      <c r="AV70" s="32">
        <v>0</v>
      </c>
      <c r="AW70" s="32">
        <v>0</v>
      </c>
      <c r="AX70" s="32">
        <v>2</v>
      </c>
      <c r="AY70" s="32">
        <v>1</v>
      </c>
      <c r="AZ70" s="32">
        <v>2</v>
      </c>
      <c r="BA70" s="32">
        <v>1</v>
      </c>
      <c r="BB70" s="32">
        <v>3</v>
      </c>
      <c r="BC70" s="32">
        <v>2</v>
      </c>
      <c r="BD70" s="32">
        <v>3</v>
      </c>
      <c r="BE70" s="15"/>
      <c r="BF70" s="15"/>
      <c r="BG70" s="32">
        <f>COUNTIF(AX70:BF70,1)</f>
        <v>2</v>
      </c>
      <c r="BH70" s="32">
        <f>COUNTIF(AX70:BF70,2)</f>
        <v>3</v>
      </c>
      <c r="BI70" s="32">
        <f>COUNTIF(AX70:BF70,3)</f>
        <v>2</v>
      </c>
      <c r="BJ70" s="32">
        <f>COUNTIF(AX70:BF70,4)</f>
        <v>0</v>
      </c>
      <c r="BK70" s="32">
        <f t="shared" si="26"/>
        <v>0</v>
      </c>
      <c r="BL70" s="32">
        <f t="shared" si="27"/>
        <v>0</v>
      </c>
      <c r="BM70" s="32">
        <f t="shared" si="28"/>
        <v>0</v>
      </c>
      <c r="BN70" s="32">
        <f t="shared" si="29"/>
        <v>0</v>
      </c>
      <c r="BO70" s="32">
        <f t="shared" si="30"/>
        <v>0</v>
      </c>
      <c r="BP70" s="32">
        <f t="shared" si="31"/>
        <v>0</v>
      </c>
      <c r="BQ70" s="32">
        <f t="shared" si="32"/>
        <v>1</v>
      </c>
      <c r="BR70" s="32">
        <f t="shared" si="33"/>
        <v>0</v>
      </c>
      <c r="BS70" s="32">
        <f t="shared" si="34"/>
        <v>0</v>
      </c>
      <c r="BT70" s="15">
        <f>SUM(Raw!AX63:AX71)</f>
        <v>0</v>
      </c>
      <c r="BU70" s="15">
        <f>SUM(Raw!BE63:BE71)</f>
        <v>0</v>
      </c>
      <c r="BV70" s="15">
        <f>SUM(Raw!BK63:BK71)</f>
        <v>1</v>
      </c>
      <c r="BW70" s="15">
        <f>SUM(Raw!BP63:BP71)</f>
        <v>1</v>
      </c>
      <c r="BX70" s="15">
        <f>SUM(Raw!BT63:BT71)</f>
        <v>1</v>
      </c>
      <c r="BY70" s="15">
        <f>SUM(Raw!BW63:BW71)</f>
        <v>0</v>
      </c>
      <c r="BZ70" s="15">
        <f>SUM(Raw!BY63:BY71)</f>
        <v>0</v>
      </c>
      <c r="CA70" s="15"/>
      <c r="CB70" s="15"/>
      <c r="CC70" s="33">
        <v>1</v>
      </c>
      <c r="CD70" s="33">
        <v>1</v>
      </c>
      <c r="CE70" s="33">
        <v>1</v>
      </c>
      <c r="CF70" s="33">
        <v>1</v>
      </c>
      <c r="CG70" s="33">
        <v>1</v>
      </c>
      <c r="CH70" s="33">
        <v>1</v>
      </c>
      <c r="CI70" s="33">
        <v>1</v>
      </c>
      <c r="CJ70" s="33">
        <v>1</v>
      </c>
      <c r="CK70" s="33">
        <v>1</v>
      </c>
      <c r="CL70" s="33">
        <v>1</v>
      </c>
      <c r="CM70" s="33">
        <v>1</v>
      </c>
      <c r="CN70" s="33">
        <v>1</v>
      </c>
      <c r="CO70" s="33">
        <v>1</v>
      </c>
      <c r="CP70" s="33">
        <v>1</v>
      </c>
      <c r="CQ70" s="33">
        <v>1</v>
      </c>
    </row>
    <row r="71" spans="1:95">
      <c r="A71" s="4">
        <v>4</v>
      </c>
      <c r="B71" s="15">
        <v>2</v>
      </c>
      <c r="C71" s="35">
        <v>9</v>
      </c>
      <c r="D71" s="36">
        <v>40876</v>
      </c>
      <c r="E71" s="37">
        <v>2</v>
      </c>
      <c r="F71" s="35">
        <v>1990</v>
      </c>
      <c r="G71" s="38">
        <v>4</v>
      </c>
      <c r="H71" s="38">
        <v>1</v>
      </c>
      <c r="I71" s="38">
        <v>0</v>
      </c>
      <c r="J71" s="38">
        <v>0</v>
      </c>
      <c r="K71" s="38">
        <v>0</v>
      </c>
      <c r="L71" s="38">
        <v>2</v>
      </c>
      <c r="M71" s="35"/>
      <c r="N71" s="39">
        <v>2</v>
      </c>
      <c r="O71" s="35">
        <v>0</v>
      </c>
      <c r="P71" s="35">
        <v>1</v>
      </c>
      <c r="Q71" s="35">
        <v>5</v>
      </c>
      <c r="R71" s="35">
        <v>1</v>
      </c>
      <c r="S71" s="35">
        <v>0</v>
      </c>
      <c r="T71" s="35">
        <v>1</v>
      </c>
      <c r="U71" s="35">
        <v>0</v>
      </c>
      <c r="V71" s="35">
        <v>0</v>
      </c>
      <c r="W71" s="35">
        <v>1</v>
      </c>
      <c r="X71" s="35">
        <v>2</v>
      </c>
      <c r="Y71" s="35">
        <v>0</v>
      </c>
      <c r="Z71" s="35">
        <v>1</v>
      </c>
      <c r="AA71" s="35">
        <v>0</v>
      </c>
      <c r="AB71" s="39">
        <v>2</v>
      </c>
      <c r="AC71" s="39">
        <v>2</v>
      </c>
      <c r="AD71" s="39">
        <v>2</v>
      </c>
      <c r="AE71" s="39">
        <v>3</v>
      </c>
      <c r="AF71" s="39">
        <v>4</v>
      </c>
      <c r="AG71" s="39">
        <v>3</v>
      </c>
      <c r="AH71" s="39">
        <v>3</v>
      </c>
      <c r="AI71" s="39">
        <v>2</v>
      </c>
      <c r="AJ71" s="35"/>
      <c r="AK71" s="32">
        <f>COUNTIF(AB71:AJ71,1)</f>
        <v>0</v>
      </c>
      <c r="AL71" s="32">
        <f>COUNTIF(AB71:AJ71,2)</f>
        <v>4</v>
      </c>
      <c r="AM71" s="32">
        <f>COUNTIF(AB71:AJ71,3)</f>
        <v>3</v>
      </c>
      <c r="AN71" s="32">
        <f>COUNTIF(AB71:AJ71,4)</f>
        <v>1</v>
      </c>
      <c r="AO71" s="32">
        <v>0</v>
      </c>
      <c r="AP71" s="32">
        <v>0</v>
      </c>
      <c r="AQ71" s="32">
        <v>0</v>
      </c>
      <c r="AR71" s="32">
        <v>0</v>
      </c>
      <c r="AS71" s="32">
        <v>0</v>
      </c>
      <c r="AT71" s="32">
        <v>0</v>
      </c>
      <c r="AU71" s="32">
        <v>0</v>
      </c>
      <c r="AV71" s="32">
        <v>0</v>
      </c>
      <c r="AW71" s="32">
        <v>0</v>
      </c>
      <c r="AX71" s="39">
        <v>2</v>
      </c>
      <c r="AY71" s="39">
        <v>2</v>
      </c>
      <c r="AZ71" s="39">
        <v>2</v>
      </c>
      <c r="BA71" s="39">
        <v>3</v>
      </c>
      <c r="BB71" s="39">
        <v>3</v>
      </c>
      <c r="BC71" s="39">
        <v>3</v>
      </c>
      <c r="BD71" s="39">
        <v>2</v>
      </c>
      <c r="BE71" s="39">
        <v>2</v>
      </c>
      <c r="BF71" s="35"/>
      <c r="BG71" s="32">
        <f>COUNTIF(AX71:BF71,1)</f>
        <v>0</v>
      </c>
      <c r="BH71" s="32">
        <f>COUNTIF(AX71:BF71,2)</f>
        <v>5</v>
      </c>
      <c r="BI71" s="32">
        <f>COUNTIF(AX71:BF71,3)</f>
        <v>3</v>
      </c>
      <c r="BJ71" s="32">
        <f>COUNTIF(AX71:BF71,4)</f>
        <v>0</v>
      </c>
      <c r="BK71" s="32">
        <f t="shared" si="26"/>
        <v>0</v>
      </c>
      <c r="BL71" s="32">
        <f t="shared" si="27"/>
        <v>0</v>
      </c>
      <c r="BM71" s="32">
        <f t="shared" si="28"/>
        <v>0</v>
      </c>
      <c r="BN71" s="32">
        <f t="shared" si="29"/>
        <v>1</v>
      </c>
      <c r="BO71" s="32">
        <f t="shared" si="30"/>
        <v>1</v>
      </c>
      <c r="BP71" s="32">
        <f t="shared" si="31"/>
        <v>1</v>
      </c>
      <c r="BQ71" s="32">
        <f t="shared" si="32"/>
        <v>0</v>
      </c>
      <c r="BR71" s="32">
        <f t="shared" si="33"/>
        <v>0</v>
      </c>
      <c r="BS71" s="32">
        <f t="shared" si="34"/>
        <v>0</v>
      </c>
      <c r="BT71" s="35"/>
      <c r="BU71" s="35"/>
      <c r="BV71" s="35"/>
      <c r="BW71" s="35"/>
      <c r="BX71" s="35"/>
      <c r="BY71" s="35"/>
      <c r="BZ71" s="35"/>
      <c r="CA71" s="35"/>
      <c r="CB71" s="35"/>
      <c r="CC71" s="40">
        <v>2</v>
      </c>
      <c r="CD71" s="40">
        <v>2</v>
      </c>
      <c r="CE71" s="40">
        <v>1</v>
      </c>
      <c r="CF71" s="40">
        <v>1</v>
      </c>
      <c r="CG71" s="40">
        <v>2</v>
      </c>
      <c r="CH71" s="40">
        <v>1</v>
      </c>
      <c r="CI71" s="40">
        <v>0</v>
      </c>
      <c r="CJ71" s="40">
        <v>2</v>
      </c>
      <c r="CK71" s="40">
        <v>2</v>
      </c>
      <c r="CL71" s="40">
        <v>0</v>
      </c>
      <c r="CM71" s="40">
        <v>1</v>
      </c>
      <c r="CN71" s="40">
        <v>2</v>
      </c>
      <c r="CO71" s="40">
        <v>0</v>
      </c>
      <c r="CP71" s="40">
        <v>2</v>
      </c>
      <c r="CQ71" s="40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M19"/>
  <sheetViews>
    <sheetView workbookViewId="0">
      <selection activeCell="D24" sqref="D24"/>
    </sheetView>
  </sheetViews>
  <sheetFormatPr defaultColWidth="8.83636363636364" defaultRowHeight="14"/>
  <cols>
    <col min="1" max="1" width="13.3363636363636" customWidth="1"/>
    <col min="2" max="2" width="12.5" customWidth="1"/>
    <col min="3" max="3" width="26" customWidth="1"/>
    <col min="4" max="4" width="15" customWidth="1"/>
    <col min="5" max="5" width="18" customWidth="1"/>
    <col min="6" max="9" width="16.3363636363636" customWidth="1"/>
    <col min="10" max="10" width="16.5" customWidth="1"/>
    <col min="11" max="11" width="19.3363636363636" customWidth="1"/>
    <col min="12" max="12" width="16.6636363636364" customWidth="1"/>
    <col min="13" max="13" width="14.5" customWidth="1"/>
    <col min="14" max="17" width="13.5" customWidth="1"/>
    <col min="18" max="18" width="15.3363636363636" customWidth="1"/>
    <col min="19" max="20" width="13.6636363636364" customWidth="1"/>
    <col min="21" max="23" width="29.5" customWidth="1"/>
    <col min="24" max="25" width="16.1636363636364" customWidth="1"/>
    <col min="26" max="26" width="15.6636363636364" customWidth="1"/>
    <col min="27" max="27" width="14.5" customWidth="1"/>
    <col min="28" max="29" width="12.1636363636364" customWidth="1"/>
    <col min="30" max="30" width="37" customWidth="1"/>
    <col min="31" max="32" width="36.1636363636364" customWidth="1"/>
    <col min="33" max="33" width="36.5" customWidth="1"/>
    <col min="34" max="34" width="37" customWidth="1"/>
    <col min="35" max="35" width="36.1636363636364" customWidth="1"/>
    <col min="36" max="36" width="38.6636363636364" customWidth="1"/>
    <col min="37" max="37" width="39" customWidth="1"/>
    <col min="38" max="38" width="39.3363636363636" customWidth="1"/>
    <col min="39" max="39" width="38.5" customWidth="1"/>
  </cols>
  <sheetData>
    <row r="1" ht="182" spans="1:39">
      <c r="A1" s="16" t="s">
        <v>323</v>
      </c>
      <c r="B1" s="16" t="s">
        <v>3</v>
      </c>
      <c r="C1" s="16" t="s">
        <v>5</v>
      </c>
      <c r="D1" s="16" t="s">
        <v>327</v>
      </c>
      <c r="E1" s="17" t="s">
        <v>415</v>
      </c>
      <c r="F1" s="17" t="s">
        <v>416</v>
      </c>
      <c r="G1" s="17" t="s">
        <v>417</v>
      </c>
      <c r="H1" s="17" t="s">
        <v>418</v>
      </c>
      <c r="I1" s="17" t="s">
        <v>419</v>
      </c>
      <c r="J1" s="17" t="s">
        <v>420</v>
      </c>
      <c r="K1" s="17" t="s">
        <v>421</v>
      </c>
      <c r="L1" s="17" t="s">
        <v>422</v>
      </c>
      <c r="M1" s="17" t="s">
        <v>423</v>
      </c>
      <c r="N1" s="17" t="s">
        <v>424</v>
      </c>
      <c r="O1" s="17" t="s">
        <v>425</v>
      </c>
      <c r="P1" s="17" t="s">
        <v>426</v>
      </c>
      <c r="Q1" s="17" t="s">
        <v>427</v>
      </c>
      <c r="R1" s="17" t="s">
        <v>428</v>
      </c>
      <c r="S1" s="17" t="s">
        <v>429</v>
      </c>
      <c r="T1" s="17" t="s">
        <v>430</v>
      </c>
      <c r="U1" s="17" t="s">
        <v>431</v>
      </c>
      <c r="V1" s="17" t="s">
        <v>432</v>
      </c>
      <c r="W1" s="16" t="s">
        <v>433</v>
      </c>
      <c r="X1" s="17" t="s">
        <v>434</v>
      </c>
      <c r="Y1" s="17" t="s">
        <v>435</v>
      </c>
      <c r="Z1" s="17" t="s">
        <v>436</v>
      </c>
      <c r="AA1" s="17" t="s">
        <v>437</v>
      </c>
      <c r="AB1" s="17" t="s">
        <v>438</v>
      </c>
      <c r="AC1" s="17" t="s">
        <v>439</v>
      </c>
      <c r="AD1" s="17" t="s">
        <v>440</v>
      </c>
      <c r="AE1" s="17" t="s">
        <v>441</v>
      </c>
      <c r="AF1" s="17" t="s">
        <v>442</v>
      </c>
      <c r="AG1" s="17" t="s">
        <v>443</v>
      </c>
      <c r="AH1" s="17" t="s">
        <v>444</v>
      </c>
      <c r="AI1" s="17" t="s">
        <v>445</v>
      </c>
      <c r="AJ1" s="17" t="s">
        <v>446</v>
      </c>
      <c r="AK1" s="17" t="s">
        <v>447</v>
      </c>
      <c r="AL1" s="17" t="s">
        <v>448</v>
      </c>
      <c r="AM1" s="17" t="s">
        <v>449</v>
      </c>
    </row>
    <row r="2" spans="1:39">
      <c r="A2" t="s">
        <v>450</v>
      </c>
      <c r="B2" t="s">
        <v>451</v>
      </c>
      <c r="C2" t="s">
        <v>452</v>
      </c>
      <c r="D2" t="s">
        <v>453</v>
      </c>
      <c r="E2" t="s">
        <v>454</v>
      </c>
      <c r="F2" t="s">
        <v>455</v>
      </c>
      <c r="G2" t="s">
        <v>456</v>
      </c>
      <c r="H2" t="s">
        <v>457</v>
      </c>
      <c r="I2" t="s">
        <v>458</v>
      </c>
      <c r="J2" t="s">
        <v>458</v>
      </c>
      <c r="K2" t="s">
        <v>459</v>
      </c>
      <c r="L2" t="s">
        <v>460</v>
      </c>
      <c r="M2" t="s">
        <v>461</v>
      </c>
      <c r="N2" t="s">
        <v>462</v>
      </c>
      <c r="O2" t="s">
        <v>463</v>
      </c>
      <c r="P2" t="s">
        <v>463</v>
      </c>
      <c r="Q2" t="s">
        <v>463</v>
      </c>
      <c r="R2" s="18" t="s">
        <v>464</v>
      </c>
      <c r="S2" t="s">
        <v>465</v>
      </c>
      <c r="T2" t="s">
        <v>465</v>
      </c>
      <c r="U2" t="s">
        <v>466</v>
      </c>
      <c r="V2" t="s">
        <v>467</v>
      </c>
      <c r="W2" t="s">
        <v>468</v>
      </c>
      <c r="X2" t="s">
        <v>469</v>
      </c>
      <c r="Y2" t="s">
        <v>470</v>
      </c>
      <c r="Z2" t="s">
        <v>471</v>
      </c>
      <c r="AA2" t="s">
        <v>469</v>
      </c>
      <c r="AB2" t="s">
        <v>472</v>
      </c>
      <c r="AC2" t="s">
        <v>473</v>
      </c>
      <c r="AD2" t="s">
        <v>474</v>
      </c>
      <c r="AE2" t="s">
        <v>475</v>
      </c>
      <c r="AF2" t="s">
        <v>476</v>
      </c>
      <c r="AG2" t="s">
        <v>477</v>
      </c>
      <c r="AH2" t="s">
        <v>478</v>
      </c>
      <c r="AI2" t="s">
        <v>479</v>
      </c>
      <c r="AJ2" t="s">
        <v>480</v>
      </c>
      <c r="AK2" t="s">
        <v>481</v>
      </c>
      <c r="AL2" t="s">
        <v>482</v>
      </c>
      <c r="AM2" t="s">
        <v>483</v>
      </c>
    </row>
    <row r="3" spans="1:39">
      <c r="A3" t="s">
        <v>484</v>
      </c>
      <c r="B3" t="s">
        <v>485</v>
      </c>
      <c r="C3" t="s">
        <v>486</v>
      </c>
      <c r="D3" t="s">
        <v>487</v>
      </c>
      <c r="E3" t="s">
        <v>488</v>
      </c>
      <c r="F3" t="s">
        <v>489</v>
      </c>
      <c r="G3" t="s">
        <v>490</v>
      </c>
      <c r="H3" t="s">
        <v>491</v>
      </c>
      <c r="I3" t="s">
        <v>492</v>
      </c>
      <c r="J3" t="s">
        <v>493</v>
      </c>
      <c r="K3" t="s">
        <v>494</v>
      </c>
      <c r="L3" t="s">
        <v>495</v>
      </c>
      <c r="O3" t="s">
        <v>496</v>
      </c>
      <c r="P3" t="s">
        <v>496</v>
      </c>
      <c r="Q3" t="s">
        <v>496</v>
      </c>
      <c r="R3" s="18" t="s">
        <v>497</v>
      </c>
      <c r="S3" t="s">
        <v>498</v>
      </c>
      <c r="T3" t="s">
        <v>498</v>
      </c>
      <c r="V3" t="s">
        <v>499</v>
      </c>
      <c r="W3" t="s">
        <v>500</v>
      </c>
      <c r="X3" t="s">
        <v>501</v>
      </c>
      <c r="Y3" t="s">
        <v>502</v>
      </c>
      <c r="Z3" t="s">
        <v>503</v>
      </c>
      <c r="AA3" t="s">
        <v>501</v>
      </c>
      <c r="AB3" t="s">
        <v>504</v>
      </c>
      <c r="AC3" t="s">
        <v>504</v>
      </c>
      <c r="AD3" t="s">
        <v>504</v>
      </c>
      <c r="AE3" t="s">
        <v>504</v>
      </c>
      <c r="AF3" t="s">
        <v>504</v>
      </c>
      <c r="AG3" t="s">
        <v>504</v>
      </c>
      <c r="AH3" t="s">
        <v>504</v>
      </c>
      <c r="AI3" t="s">
        <v>504</v>
      </c>
      <c r="AJ3" t="s">
        <v>504</v>
      </c>
      <c r="AK3" t="s">
        <v>504</v>
      </c>
      <c r="AL3" t="s">
        <v>504</v>
      </c>
      <c r="AM3" t="s">
        <v>504</v>
      </c>
    </row>
    <row r="4" spans="1:39">
      <c r="A4" t="s">
        <v>505</v>
      </c>
      <c r="C4" t="s">
        <v>506</v>
      </c>
      <c r="F4" t="s">
        <v>507</v>
      </c>
      <c r="G4" t="s">
        <v>507</v>
      </c>
      <c r="H4" t="s">
        <v>507</v>
      </c>
      <c r="I4" t="s">
        <v>508</v>
      </c>
      <c r="J4" t="s">
        <v>509</v>
      </c>
      <c r="K4" t="s">
        <v>510</v>
      </c>
      <c r="O4" t="s">
        <v>511</v>
      </c>
      <c r="P4" t="s">
        <v>511</v>
      </c>
      <c r="Q4" t="s">
        <v>511</v>
      </c>
      <c r="R4" s="18" t="s">
        <v>512</v>
      </c>
      <c r="S4" t="s">
        <v>513</v>
      </c>
      <c r="T4" t="s">
        <v>513</v>
      </c>
      <c r="Z4" t="s">
        <v>514</v>
      </c>
    </row>
    <row r="5" spans="1:39">
      <c r="C5" t="s">
        <v>515</v>
      </c>
      <c r="I5" t="s">
        <v>516</v>
      </c>
      <c r="J5" t="s">
        <v>517</v>
      </c>
      <c r="K5" t="s">
        <v>518</v>
      </c>
      <c r="S5" t="s">
        <v>519</v>
      </c>
      <c r="T5" t="s">
        <v>519</v>
      </c>
    </row>
    <row r="6" spans="1:39">
      <c r="C6" t="s">
        <v>520</v>
      </c>
      <c r="I6" s="18" t="s">
        <v>521</v>
      </c>
      <c r="J6" t="s">
        <v>522</v>
      </c>
      <c r="K6" t="s">
        <v>523</v>
      </c>
    </row>
    <row r="7" spans="1:39">
      <c r="C7" t="s">
        <v>524</v>
      </c>
      <c r="I7" t="s">
        <v>525</v>
      </c>
      <c r="J7" t="s">
        <v>526</v>
      </c>
      <c r="K7" t="s">
        <v>527</v>
      </c>
    </row>
    <row r="8" spans="1:39">
      <c r="K8" t="s">
        <v>528</v>
      </c>
      <c r="X8" t="s">
        <v>529</v>
      </c>
    </row>
    <row r="9" spans="1:39">
      <c r="K9" t="s">
        <v>530</v>
      </c>
      <c r="X9" t="s">
        <v>531</v>
      </c>
    </row>
    <row r="10" spans="1:39">
      <c r="X10" t="s">
        <v>532</v>
      </c>
    </row>
    <row r="11" spans="1:39">
      <c r="X11" t="s">
        <v>533</v>
      </c>
    </row>
    <row r="12" spans="1:39">
      <c r="X12" t="s">
        <v>534</v>
      </c>
    </row>
    <row r="13" spans="1:39">
      <c r="X13" t="s">
        <v>535</v>
      </c>
    </row>
    <row r="14" spans="1:39">
      <c r="X14" t="s">
        <v>536</v>
      </c>
    </row>
    <row r="15" spans="1:39">
      <c r="X15" t="s">
        <v>537</v>
      </c>
    </row>
    <row r="16" spans="1:39">
      <c r="X16" t="s">
        <v>538</v>
      </c>
    </row>
    <row r="17" spans="24:24">
      <c r="X17" t="s">
        <v>539</v>
      </c>
    </row>
    <row r="18" spans="24:24">
      <c r="X18" t="s">
        <v>540</v>
      </c>
    </row>
    <row r="19" spans="24:24">
      <c r="X19" t="s">
        <v>541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O70"/>
  <sheetViews>
    <sheetView workbookViewId="0">
      <pane xSplit="4" ySplit="1" topLeftCell="M2" activePane="bottomRight" state="frozen"/>
      <selection/>
      <selection pane="topRight"/>
      <selection pane="bottomLeft"/>
      <selection pane="bottomRight" activeCell="BM1" sqref="BM1"/>
    </sheetView>
  </sheetViews>
  <sheetFormatPr defaultColWidth="8.83636363636364" defaultRowHeight="14"/>
  <cols>
    <col min="1" max="4" width="8.83636363636364" style="4"/>
    <col min="5" max="5" width="16.8363636363636" style="4" customWidth="1"/>
    <col min="6" max="6" width="10.6636363636364" style="4" customWidth="1"/>
    <col min="7" max="7" width="10.1636363636364" style="4" customWidth="1"/>
    <col min="8" max="8" width="5.83636363636364" style="4" customWidth="1"/>
    <col min="9" max="9" width="15" style="4" customWidth="1"/>
    <col min="10" max="10" width="15.5" style="4" customWidth="1"/>
    <col min="11" max="11" width="12.1636363636364" style="4" customWidth="1"/>
    <col min="12" max="13" width="17.3363636363636" style="4" customWidth="1"/>
    <col min="14" max="15" width="8.5" style="4" customWidth="1"/>
    <col min="16" max="16" width="8.66363636363636" style="4" customWidth="1"/>
    <col min="17" max="17" width="8.5" style="4" customWidth="1"/>
    <col min="18" max="19" width="8.83636363636364" style="4"/>
    <col min="20" max="20" width="8" style="4" customWidth="1"/>
    <col min="21" max="21" width="8.5" style="4" customWidth="1"/>
    <col min="22" max="23" width="12.6636363636364" style="4" customWidth="1"/>
    <col min="24" max="24" width="13.3363636363636" style="4" customWidth="1"/>
    <col min="25" max="25" width="8.5" style="4" customWidth="1"/>
    <col min="26" max="27" width="8.83636363636364" style="4"/>
    <col min="28" max="29" width="12.6636363636364" style="4" customWidth="1"/>
    <col min="30" max="30" width="13.3363636363636" style="4" customWidth="1"/>
    <col min="31" max="31" width="8.83636363636364" style="4"/>
    <col min="32" max="32" width="8" style="4" customWidth="1"/>
    <col min="33" max="33" width="8.5" style="4" customWidth="1"/>
    <col min="34" max="35" width="12.6636363636364" style="4" customWidth="1"/>
    <col min="36" max="36" width="13.3363636363636" style="4" customWidth="1"/>
    <col min="37" max="37" width="8.5" style="4" customWidth="1"/>
    <col min="38" max="16384" width="8.83636363636364" style="4"/>
  </cols>
  <sheetData>
    <row r="1" ht="28" spans="1:67">
      <c r="A1" s="11" t="s">
        <v>542</v>
      </c>
      <c r="B1" s="12" t="s">
        <v>0</v>
      </c>
      <c r="C1" s="12" t="s">
        <v>323</v>
      </c>
      <c r="D1" s="12" t="s">
        <v>1</v>
      </c>
      <c r="E1" s="12" t="s">
        <v>324</v>
      </c>
      <c r="F1" s="12" t="s">
        <v>325</v>
      </c>
      <c r="G1" s="12" t="s">
        <v>326</v>
      </c>
      <c r="H1" s="12" t="s">
        <v>5</v>
      </c>
      <c r="I1" s="12" t="s">
        <v>327</v>
      </c>
      <c r="J1" s="13" t="s">
        <v>543</v>
      </c>
      <c r="K1" s="13" t="s">
        <v>544</v>
      </c>
      <c r="L1" s="13" t="s">
        <v>432</v>
      </c>
      <c r="M1" s="13" t="s">
        <v>433</v>
      </c>
      <c r="N1" s="11" t="s">
        <v>400</v>
      </c>
      <c r="O1" s="11" t="s">
        <v>401</v>
      </c>
      <c r="P1" s="11" t="s">
        <v>402</v>
      </c>
      <c r="Q1" s="11" t="s">
        <v>403</v>
      </c>
      <c r="R1" s="11" t="s">
        <v>404</v>
      </c>
      <c r="S1" s="11" t="s">
        <v>405</v>
      </c>
      <c r="T1" s="11" t="s">
        <v>406</v>
      </c>
      <c r="U1" s="11" t="s">
        <v>407</v>
      </c>
      <c r="V1" s="11" t="s">
        <v>545</v>
      </c>
      <c r="W1" s="11" t="s">
        <v>546</v>
      </c>
      <c r="X1" s="11" t="s">
        <v>547</v>
      </c>
      <c r="Y1" s="11" t="s">
        <v>408</v>
      </c>
      <c r="Z1" s="11" t="s">
        <v>409</v>
      </c>
      <c r="AA1" s="11" t="s">
        <v>410</v>
      </c>
      <c r="AB1" s="11" t="s">
        <v>548</v>
      </c>
      <c r="AC1" s="11" t="s">
        <v>549</v>
      </c>
      <c r="AD1" s="11" t="s">
        <v>550</v>
      </c>
      <c r="AE1" s="11" t="s">
        <v>411</v>
      </c>
      <c r="AF1" s="11" t="s">
        <v>412</v>
      </c>
      <c r="AG1" s="11" t="s">
        <v>413</v>
      </c>
      <c r="AH1" s="11" t="s">
        <v>551</v>
      </c>
      <c r="AI1" s="11" t="s">
        <v>552</v>
      </c>
      <c r="AJ1" s="11" t="s">
        <v>553</v>
      </c>
      <c r="AK1" s="11" t="s">
        <v>414</v>
      </c>
      <c r="AL1" s="14" t="s">
        <v>554</v>
      </c>
      <c r="AM1" s="14" t="s">
        <v>555</v>
      </c>
      <c r="AN1" s="14" t="s">
        <v>556</v>
      </c>
      <c r="AO1" s="14" t="s">
        <v>557</v>
      </c>
      <c r="AP1" s="14" t="s">
        <v>558</v>
      </c>
      <c r="AQ1" s="14" t="s">
        <v>559</v>
      </c>
      <c r="AR1" s="14" t="s">
        <v>560</v>
      </c>
      <c r="AS1" s="14" t="s">
        <v>561</v>
      </c>
      <c r="AT1" s="9" t="s">
        <v>562</v>
      </c>
      <c r="AU1" s="9" t="s">
        <v>563</v>
      </c>
      <c r="AV1" s="14" t="s">
        <v>564</v>
      </c>
      <c r="AW1" s="14" t="s">
        <v>565</v>
      </c>
      <c r="AX1" s="9" t="s">
        <v>566</v>
      </c>
      <c r="AY1" s="9" t="s">
        <v>567</v>
      </c>
      <c r="AZ1" s="9" t="s">
        <v>568</v>
      </c>
      <c r="BA1" s="9" t="s">
        <v>569</v>
      </c>
      <c r="BB1" s="9" t="s">
        <v>570</v>
      </c>
      <c r="BC1" s="9" t="s">
        <v>571</v>
      </c>
      <c r="BD1" s="9" t="s">
        <v>572</v>
      </c>
      <c r="BE1" s="9" t="s">
        <v>573</v>
      </c>
      <c r="BF1" s="9" t="s">
        <v>574</v>
      </c>
      <c r="BG1" s="9" t="s">
        <v>575</v>
      </c>
      <c r="BH1" s="9" t="s">
        <v>576</v>
      </c>
      <c r="BI1" s="9" t="s">
        <v>577</v>
      </c>
      <c r="BJ1" s="9" t="s">
        <v>578</v>
      </c>
      <c r="BK1" s="9" t="s">
        <v>579</v>
      </c>
      <c r="BL1" s="9" t="s">
        <v>580</v>
      </c>
      <c r="BM1" s="9" t="s">
        <v>581</v>
      </c>
      <c r="BN1" s="9" t="s">
        <v>582</v>
      </c>
      <c r="BO1" s="9" t="s">
        <v>583</v>
      </c>
    </row>
    <row r="2" spans="1:67">
      <c r="A2" s="4">
        <v>0</v>
      </c>
      <c r="B2" s="4">
        <f>transform!A2</f>
        <v>1</v>
      </c>
      <c r="C2" s="4">
        <f>transform!B2</f>
        <v>1</v>
      </c>
      <c r="D2" s="4">
        <f>transform!C2</f>
        <v>1</v>
      </c>
      <c r="E2" s="4">
        <f>transform!D2</f>
        <v>40876</v>
      </c>
      <c r="F2" s="4">
        <f>transform!E2</f>
        <v>1</v>
      </c>
      <c r="G2" s="4">
        <f>transform!F2</f>
        <v>1991</v>
      </c>
      <c r="H2" s="4">
        <f>transform!G2</f>
        <v>1</v>
      </c>
      <c r="I2" s="4">
        <f>transform!H2</f>
        <v>1</v>
      </c>
      <c r="J2" s="4">
        <f>COUNTIF(Raw!AR2:CA2,1)/(COUNTIF(Raw!AR2:CA2,1)+COUNTIF(Raw!AR2:CA2,0))</f>
        <v>0.523809523809524</v>
      </c>
      <c r="K2" s="15">
        <v>0.571428571428571</v>
      </c>
      <c r="L2" s="15">
        <v>1</v>
      </c>
      <c r="M2" s="15">
        <v>1</v>
      </c>
      <c r="N2" s="4">
        <f>transform!CC2</f>
        <v>2</v>
      </c>
      <c r="O2" s="4">
        <f>transform!CD2</f>
        <v>2</v>
      </c>
      <c r="P2" s="4">
        <f>transform!CE2</f>
        <v>2</v>
      </c>
      <c r="Q2" s="4">
        <f>transform!CF2</f>
        <v>2</v>
      </c>
      <c r="R2" s="4">
        <f>transform!CG2</f>
        <v>2</v>
      </c>
      <c r="S2" s="4">
        <f>transform!CH2</f>
        <v>2</v>
      </c>
      <c r="T2" s="4">
        <f>transform!CI2</f>
        <v>1</v>
      </c>
      <c r="U2" s="4">
        <f>transform!CJ2</f>
        <v>2</v>
      </c>
      <c r="V2" s="4">
        <f t="shared" ref="V2:V33" si="0">IF(T2=1,IF(U2=1,1,0),0)</f>
        <v>0</v>
      </c>
      <c r="W2" s="4">
        <f t="shared" ref="W2:W33" si="1">IF(T2=1,IF(U2=2,1,0),0)</f>
        <v>1</v>
      </c>
      <c r="X2" s="4">
        <f t="shared" ref="X2:X33" si="2">IF(T2=1,U2+1,IF(NOT(U2=0),1,0))</f>
        <v>3</v>
      </c>
      <c r="Y2" s="4">
        <f>transform!CK2</f>
        <v>2</v>
      </c>
      <c r="Z2" s="4">
        <f>transform!CL2</f>
        <v>1</v>
      </c>
      <c r="AA2" s="4">
        <f>transform!CM2</f>
        <v>1</v>
      </c>
      <c r="AB2" s="4">
        <f t="shared" ref="AB2:AB33" si="3">IF(Z2=1,IF(AA2=1,1,0),0)</f>
        <v>1</v>
      </c>
      <c r="AC2" s="4">
        <f t="shared" ref="AC2:AC33" si="4">IF(Z2=1,IF(AA2=2,1,0),0)</f>
        <v>0</v>
      </c>
      <c r="AD2" s="4">
        <f t="shared" ref="AD2:AD33" si="5">IF(Z2=1,AA2+1,IF(NOT(AA2=0),1,0))</f>
        <v>2</v>
      </c>
      <c r="AE2" s="4">
        <f>transform!CN2</f>
        <v>2</v>
      </c>
      <c r="AF2" s="4">
        <f>transform!CO2</f>
        <v>1</v>
      </c>
      <c r="AG2" s="4">
        <f>transform!CP2</f>
        <v>2</v>
      </c>
      <c r="AH2" s="4">
        <f t="shared" ref="AH2:AH33" si="6">IF(AF2=1,IF(AG2=1,1,0),0)</f>
        <v>0</v>
      </c>
      <c r="AI2" s="4">
        <f t="shared" ref="AI2:AI33" si="7">IF(AF2=1,IF(AG2=2,1,0),0)</f>
        <v>1</v>
      </c>
      <c r="AJ2" s="4">
        <f t="shared" ref="AJ2:AJ33" si="8">IF(AF2=1,AG2+1,IF(NOT(AG2=0),1,0))</f>
        <v>3</v>
      </c>
      <c r="AK2" s="4">
        <f>transform!CQ2</f>
        <v>1</v>
      </c>
      <c r="AL2" s="4">
        <f>IF(AND(N2=1,O2=1),2,1)</f>
        <v>1</v>
      </c>
      <c r="AM2" s="4">
        <f>IF(AND(N2=2,O2=2),2,1)</f>
        <v>2</v>
      </c>
      <c r="AN2" s="4">
        <f>IF(AND(N2=1,O2=2),2,1)</f>
        <v>1</v>
      </c>
      <c r="AO2" s="4">
        <f>IF(AND(N2=2,O2=1),2,1)</f>
        <v>1</v>
      </c>
      <c r="AP2" s="4">
        <f>IF(AND(P2=1,Q2=1),2,1)</f>
        <v>1</v>
      </c>
      <c r="AQ2" s="4">
        <f>IF(AND(P2=2,Q2=2),2,1)</f>
        <v>2</v>
      </c>
      <c r="AR2" s="4">
        <f>IF(AND(P2=1,Q2=2),2,1)</f>
        <v>1</v>
      </c>
      <c r="AS2" s="4">
        <f>IF(AND(P2=2,Q2=1),2,1)</f>
        <v>1</v>
      </c>
      <c r="AT2" s="4">
        <f>IF(AND(R2=1,S2=1),2,1)</f>
        <v>1</v>
      </c>
      <c r="AU2" s="4">
        <f>IF(AND(R2=2,S2=2),2,1)</f>
        <v>2</v>
      </c>
      <c r="AV2" s="4">
        <f>IF(AND(R2=1,S2=2),2,1)</f>
        <v>1</v>
      </c>
      <c r="AW2" s="4">
        <f>IF(AND(R2=2,S2=1),2,1)</f>
        <v>1</v>
      </c>
      <c r="AX2" s="4">
        <f>IF(AND(T2=0,Y2=1),2,1)</f>
        <v>1</v>
      </c>
      <c r="AY2" s="4">
        <f>IF(AND(T2=0,Y2=2),2,1)</f>
        <v>1</v>
      </c>
      <c r="AZ2" s="4">
        <f>IF(AND(T2=1,U2=1,Y2=1),2,1)</f>
        <v>1</v>
      </c>
      <c r="BA2" s="4">
        <f>IF(AND(T2=1,U2=2,Y2=2),2,1)</f>
        <v>2</v>
      </c>
      <c r="BB2" s="4">
        <f>IF(AND(T2=1,U2=1,Y2=2),2,1)</f>
        <v>1</v>
      </c>
      <c r="BC2" s="4">
        <f>IF(AND(T2=1,U2=2,Y2=1),2,1)</f>
        <v>1</v>
      </c>
      <c r="BD2" s="4">
        <f>IF(AND(Z2=0,AE2=1),2,1)</f>
        <v>1</v>
      </c>
      <c r="BE2" s="4">
        <f>IF(AND(Z2=0,AE2=2),2,1)</f>
        <v>1</v>
      </c>
      <c r="BF2" s="4">
        <f>IF(AND(Z2=1,AA2=1,AE2=1),2,1)</f>
        <v>1</v>
      </c>
      <c r="BG2" s="4">
        <f>IF(AND(Z2=1,AA2=2,AE2=2),2,1)</f>
        <v>1</v>
      </c>
      <c r="BH2" s="4">
        <f>IF(AND(Z2=1,AA2=1,AE2=2),2,1)</f>
        <v>2</v>
      </c>
      <c r="BI2" s="4">
        <f>IF(AND(Z2=1,AA2=2,AE2=1),2,1)</f>
        <v>1</v>
      </c>
      <c r="BJ2" s="4">
        <f>IF(AND(AF2=0,AK2=1),2,1)</f>
        <v>1</v>
      </c>
      <c r="BK2" s="4">
        <f>IF(AND(AF2=0,AK2=2),2,1)</f>
        <v>1</v>
      </c>
      <c r="BL2" s="4">
        <f>IF(AND(AF2=1,AG2=1,AK2=1),2,1)</f>
        <v>1</v>
      </c>
      <c r="BM2" s="4">
        <f>IF(AND(AF2=1,AG2=2,AK2=2),2,1)</f>
        <v>1</v>
      </c>
      <c r="BN2" s="4">
        <f>IF(AND(AF2=1,AG2=1,AK2=2),2,1)</f>
        <v>1</v>
      </c>
      <c r="BO2" s="4">
        <f>IF(AND(AF2=1,AG2=2,AK2=1),2,1)</f>
        <v>2</v>
      </c>
    </row>
    <row r="3" spans="1:67">
      <c r="A3" s="4">
        <v>0</v>
      </c>
      <c r="B3" s="4">
        <f>transform!A3</f>
        <v>1</v>
      </c>
      <c r="C3" s="4">
        <f>transform!B3</f>
        <v>1</v>
      </c>
      <c r="D3" s="4">
        <f>transform!C3</f>
        <v>2</v>
      </c>
      <c r="E3" s="4">
        <f>transform!D3</f>
        <v>40876</v>
      </c>
      <c r="F3" s="4">
        <f>transform!E3</f>
        <v>1</v>
      </c>
      <c r="G3" s="4">
        <f>transform!F3</f>
        <v>1988</v>
      </c>
      <c r="H3" s="4">
        <f>transform!G3</f>
        <v>4</v>
      </c>
      <c r="I3" s="4">
        <f>transform!H3</f>
        <v>1</v>
      </c>
      <c r="J3" s="4">
        <f>COUNTIF(Raw!AR3:CA3,1)/(COUNTIF(Raw!AR3:CA3,1)+COUNTIF(Raw!AR3:CA3,0))</f>
        <v>0.19047619047619</v>
      </c>
      <c r="K3" s="15">
        <v>0.285714285714286</v>
      </c>
      <c r="L3" s="15">
        <v>0</v>
      </c>
      <c r="M3" s="15">
        <v>0</v>
      </c>
      <c r="N3" s="4">
        <f>transform!CC3</f>
        <v>2</v>
      </c>
      <c r="O3" s="4">
        <f>transform!CD3</f>
        <v>2</v>
      </c>
      <c r="P3" s="4">
        <f>transform!CE3</f>
        <v>1</v>
      </c>
      <c r="Q3" s="4">
        <f>transform!CF3</f>
        <v>2</v>
      </c>
      <c r="R3" s="4">
        <f>transform!CG3</f>
        <v>1</v>
      </c>
      <c r="S3" s="4">
        <f>transform!CH3</f>
        <v>2</v>
      </c>
      <c r="T3" s="4">
        <f>transform!CI3</f>
        <v>1</v>
      </c>
      <c r="U3" s="4">
        <f>transform!CJ3</f>
        <v>1</v>
      </c>
      <c r="V3" s="4">
        <f t="shared" si="0"/>
        <v>1</v>
      </c>
      <c r="W3" s="4">
        <f t="shared" si="1"/>
        <v>0</v>
      </c>
      <c r="X3" s="4">
        <f t="shared" si="2"/>
        <v>2</v>
      </c>
      <c r="Y3" s="4">
        <f>transform!CK3</f>
        <v>2</v>
      </c>
      <c r="Z3" s="4">
        <f>transform!CL3</f>
        <v>1</v>
      </c>
      <c r="AA3" s="4">
        <f>transform!CM3</f>
        <v>1</v>
      </c>
      <c r="AB3" s="4">
        <f t="shared" si="3"/>
        <v>1</v>
      </c>
      <c r="AC3" s="4">
        <f t="shared" si="4"/>
        <v>0</v>
      </c>
      <c r="AD3" s="4">
        <f t="shared" si="5"/>
        <v>2</v>
      </c>
      <c r="AE3" s="4">
        <f>transform!CN3</f>
        <v>2</v>
      </c>
      <c r="AF3" s="4">
        <f>transform!CO3</f>
        <v>1</v>
      </c>
      <c r="AG3" s="4">
        <f>transform!CP3</f>
        <v>1</v>
      </c>
      <c r="AH3" s="4">
        <f t="shared" si="6"/>
        <v>1</v>
      </c>
      <c r="AI3" s="4">
        <f t="shared" si="7"/>
        <v>0</v>
      </c>
      <c r="AJ3" s="4">
        <f t="shared" si="8"/>
        <v>2</v>
      </c>
      <c r="AK3" s="4">
        <f>transform!CQ3</f>
        <v>2</v>
      </c>
      <c r="AL3" s="4">
        <f t="shared" ref="AL3:AL66" si="9">IF(AND($N3=1,$O3=1),2,1)</f>
        <v>1</v>
      </c>
      <c r="AM3" s="4">
        <f t="shared" ref="AM3:AM66" si="10">IF(AND($N3=2,$O3=2),2,1)</f>
        <v>2</v>
      </c>
      <c r="AN3" s="4">
        <f t="shared" ref="AN3:AN66" si="11">IF(AND($N3=1,$O3=2),2,1)</f>
        <v>1</v>
      </c>
      <c r="AO3" s="4">
        <f t="shared" ref="AO3:AO66" si="12">IF(AND($N3=2,$O3=1),2,1)</f>
        <v>1</v>
      </c>
      <c r="AP3" s="4">
        <f t="shared" ref="AP3:AP66" si="13">IF(AND($P3=1,$Q3=1),2,1)</f>
        <v>1</v>
      </c>
      <c r="AQ3" s="4">
        <f t="shared" ref="AQ3:AQ66" si="14">IF(AND($P3=2,$Q3=2),2,1)</f>
        <v>1</v>
      </c>
      <c r="AR3" s="4">
        <f t="shared" ref="AR3:AR66" si="15">IF(AND($P3=1,$Q3=2),2,1)</f>
        <v>2</v>
      </c>
      <c r="AS3" s="4">
        <f t="shared" ref="AS3:AS66" si="16">IF(AND($P3=2,$Q3=1),2,1)</f>
        <v>1</v>
      </c>
      <c r="AT3" s="4">
        <f t="shared" ref="AT3:AT66" si="17">IF(AND($R3=1,$S3=1),2,1)</f>
        <v>1</v>
      </c>
      <c r="AU3" s="4">
        <f t="shared" ref="AU3:AU66" si="18">IF(AND($R3=2,$S3=2),2,1)</f>
        <v>1</v>
      </c>
      <c r="AV3" s="4">
        <f t="shared" ref="AV3:AV66" si="19">IF(AND($R3=1,$S3=2),2,1)</f>
        <v>2</v>
      </c>
      <c r="AW3" s="4">
        <f t="shared" ref="AW3:AW66" si="20">IF(AND($R3=2,$S3=1),2,1)</f>
        <v>1</v>
      </c>
      <c r="AX3" s="4">
        <f t="shared" ref="AX3:AX66" si="21">IF(AND($T3=0,$Y3=1),2,1)</f>
        <v>1</v>
      </c>
      <c r="AY3" s="4">
        <f t="shared" ref="AY3:AY66" si="22">IF(AND($T3=0,$Y3=2),2,1)</f>
        <v>1</v>
      </c>
      <c r="AZ3" s="4">
        <f t="shared" ref="AZ3:AZ66" si="23">IF(AND($T3=1,$U3=1,$Y3=1),2,1)</f>
        <v>1</v>
      </c>
      <c r="BA3" s="4">
        <f t="shared" ref="BA3:BA66" si="24">IF(AND($T3=1,$U3=2,$Y3=2),2,1)</f>
        <v>1</v>
      </c>
      <c r="BB3" s="4">
        <f t="shared" ref="BB3:BB66" si="25">IF(AND($T3=1,$U3=1,$Y3=2),2,1)</f>
        <v>2</v>
      </c>
      <c r="BC3" s="4">
        <f t="shared" ref="BC3:BC66" si="26">IF(AND($T3=1,$U3=2,$Y3=1),2,1)</f>
        <v>1</v>
      </c>
      <c r="BD3" s="4">
        <f t="shared" ref="BD3:BD66" si="27">IF(AND($Z3=0,$AE3=1),2,1)</f>
        <v>1</v>
      </c>
      <c r="BE3" s="4">
        <f t="shared" ref="BE3:BE66" si="28">IF(AND($Z3=0,$AE3=2),2,1)</f>
        <v>1</v>
      </c>
      <c r="BF3" s="4">
        <f t="shared" ref="BF3:BF66" si="29">IF(AND($Z3=1,$AA3=1,$AE3=1),2,1)</f>
        <v>1</v>
      </c>
      <c r="BG3" s="4">
        <f t="shared" ref="BG3:BG66" si="30">IF(AND($Z3=1,$AA3=2,$AE3=2),2,1)</f>
        <v>1</v>
      </c>
      <c r="BH3" s="4">
        <f t="shared" ref="BH3:BH66" si="31">IF(AND($Z3=1,$AA3=1,$AE3=2),2,1)</f>
        <v>2</v>
      </c>
      <c r="BI3" s="4">
        <f t="shared" ref="BI3:BI66" si="32">IF(AND($Z3=1,$AA3=2,$AE3=1),2,1)</f>
        <v>1</v>
      </c>
      <c r="BJ3" s="4">
        <f t="shared" ref="BJ3:BJ66" si="33">IF(AND($AF3=0,$AK3=1),2,1)</f>
        <v>1</v>
      </c>
      <c r="BK3" s="4">
        <f t="shared" ref="BK3:BK66" si="34">IF(AND($AF3=0,$AK3=2),2,1)</f>
        <v>1</v>
      </c>
      <c r="BL3" s="4">
        <f t="shared" ref="BL3:BL66" si="35">IF(AND($AF3=1,$AG3=1,$AK3=1),2,1)</f>
        <v>1</v>
      </c>
      <c r="BM3" s="4">
        <f t="shared" ref="BM3:BM66" si="36">IF(AND($AF3=1,$AG3=2,$AK3=2),2,1)</f>
        <v>1</v>
      </c>
      <c r="BN3" s="4">
        <f t="shared" ref="BN3:BN66" si="37">IF(AND($AF3=1,$AG3=1,$AK3=2),2,1)</f>
        <v>2</v>
      </c>
      <c r="BO3" s="4">
        <f t="shared" ref="BO3:BO66" si="38">IF(AND($AF3=1,$AG3=2,$AK3=1),2,1)</f>
        <v>1</v>
      </c>
    </row>
    <row r="4" spans="1:67">
      <c r="A4" s="4">
        <v>0</v>
      </c>
      <c r="B4" s="4">
        <f>transform!A4</f>
        <v>1</v>
      </c>
      <c r="C4" s="4">
        <f>transform!B4</f>
        <v>1</v>
      </c>
      <c r="D4" s="4">
        <f>transform!C4</f>
        <v>3</v>
      </c>
      <c r="E4" s="4">
        <f>transform!D4</f>
        <v>40876</v>
      </c>
      <c r="F4" s="4">
        <f>transform!E4</f>
        <v>1</v>
      </c>
      <c r="G4" s="4">
        <f>transform!F4</f>
        <v>1987</v>
      </c>
      <c r="H4" s="4">
        <f>transform!G4</f>
        <v>2</v>
      </c>
      <c r="I4" s="4">
        <f>transform!H4</f>
        <v>1</v>
      </c>
      <c r="J4" s="4">
        <f>COUNTIF(Raw!AR4:CA4,1)/(COUNTIF(Raw!AR4:CA4,1)+COUNTIF(Raw!AR4:CA4,0))</f>
        <v>0.0476190476190476</v>
      </c>
      <c r="K4" s="15">
        <v>0.285714285714286</v>
      </c>
      <c r="L4" s="15">
        <v>0</v>
      </c>
      <c r="M4" s="15">
        <v>0</v>
      </c>
      <c r="N4" s="4">
        <f>transform!CC4</f>
        <v>1</v>
      </c>
      <c r="O4" s="4">
        <f>transform!CD4</f>
        <v>2</v>
      </c>
      <c r="P4" s="4">
        <f>transform!CE4</f>
        <v>2</v>
      </c>
      <c r="Q4" s="4">
        <f>transform!CF4</f>
        <v>2</v>
      </c>
      <c r="R4" s="4">
        <f>transform!CG4</f>
        <v>2</v>
      </c>
      <c r="S4" s="4">
        <f>transform!CH4</f>
        <v>2</v>
      </c>
      <c r="T4" s="4">
        <f>transform!CI4</f>
        <v>0</v>
      </c>
      <c r="U4" s="4">
        <f>transform!CJ4</f>
        <v>2</v>
      </c>
      <c r="V4" s="4">
        <f t="shared" si="0"/>
        <v>0</v>
      </c>
      <c r="W4" s="4">
        <f t="shared" si="1"/>
        <v>0</v>
      </c>
      <c r="X4" s="4">
        <f t="shared" si="2"/>
        <v>1</v>
      </c>
      <c r="Y4" s="4">
        <f>transform!CK4</f>
        <v>2</v>
      </c>
      <c r="Z4" s="4">
        <f>transform!CL4</f>
        <v>0</v>
      </c>
      <c r="AA4" s="4">
        <f>transform!CM4</f>
        <v>2</v>
      </c>
      <c r="AB4" s="4">
        <f t="shared" si="3"/>
        <v>0</v>
      </c>
      <c r="AC4" s="4">
        <f t="shared" si="4"/>
        <v>0</v>
      </c>
      <c r="AD4" s="4">
        <f t="shared" si="5"/>
        <v>1</v>
      </c>
      <c r="AE4" s="4">
        <f>transform!CN4</f>
        <v>1</v>
      </c>
      <c r="AF4" s="4">
        <f>transform!CO4</f>
        <v>0</v>
      </c>
      <c r="AG4" s="4">
        <f>transform!CP4</f>
        <v>2</v>
      </c>
      <c r="AH4" s="4">
        <f t="shared" si="6"/>
        <v>0</v>
      </c>
      <c r="AI4" s="4">
        <f t="shared" si="7"/>
        <v>0</v>
      </c>
      <c r="AJ4" s="4">
        <f t="shared" si="8"/>
        <v>1</v>
      </c>
      <c r="AK4" s="4">
        <f>transform!CQ4</f>
        <v>1</v>
      </c>
      <c r="AL4" s="4">
        <f t="shared" si="9"/>
        <v>1</v>
      </c>
      <c r="AM4" s="4">
        <f t="shared" si="10"/>
        <v>1</v>
      </c>
      <c r="AN4" s="4">
        <f t="shared" si="11"/>
        <v>2</v>
      </c>
      <c r="AO4" s="4">
        <f t="shared" si="12"/>
        <v>1</v>
      </c>
      <c r="AP4" s="4">
        <f t="shared" si="13"/>
        <v>1</v>
      </c>
      <c r="AQ4" s="4">
        <f t="shared" si="14"/>
        <v>2</v>
      </c>
      <c r="AR4" s="4">
        <f t="shared" si="15"/>
        <v>1</v>
      </c>
      <c r="AS4" s="4">
        <f t="shared" si="16"/>
        <v>1</v>
      </c>
      <c r="AT4" s="4">
        <f t="shared" si="17"/>
        <v>1</v>
      </c>
      <c r="AU4" s="4">
        <f t="shared" si="18"/>
        <v>2</v>
      </c>
      <c r="AV4" s="4">
        <f t="shared" si="19"/>
        <v>1</v>
      </c>
      <c r="AW4" s="4">
        <f t="shared" si="20"/>
        <v>1</v>
      </c>
      <c r="AX4" s="4">
        <f t="shared" si="21"/>
        <v>1</v>
      </c>
      <c r="AY4" s="4">
        <f t="shared" si="22"/>
        <v>2</v>
      </c>
      <c r="AZ4" s="4">
        <f t="shared" si="23"/>
        <v>1</v>
      </c>
      <c r="BA4" s="4">
        <f t="shared" si="24"/>
        <v>1</v>
      </c>
      <c r="BB4" s="4">
        <f t="shared" si="25"/>
        <v>1</v>
      </c>
      <c r="BC4" s="4">
        <f t="shared" si="26"/>
        <v>1</v>
      </c>
      <c r="BD4" s="4">
        <f t="shared" si="27"/>
        <v>2</v>
      </c>
      <c r="BE4" s="4">
        <f t="shared" si="28"/>
        <v>1</v>
      </c>
      <c r="BF4" s="4">
        <f t="shared" si="29"/>
        <v>1</v>
      </c>
      <c r="BG4" s="4">
        <f t="shared" si="30"/>
        <v>1</v>
      </c>
      <c r="BH4" s="4">
        <f t="shared" si="31"/>
        <v>1</v>
      </c>
      <c r="BI4" s="4">
        <f t="shared" si="32"/>
        <v>1</v>
      </c>
      <c r="BJ4" s="4">
        <f t="shared" si="33"/>
        <v>2</v>
      </c>
      <c r="BK4" s="4">
        <f t="shared" si="34"/>
        <v>1</v>
      </c>
      <c r="BL4" s="4">
        <f t="shared" si="35"/>
        <v>1</v>
      </c>
      <c r="BM4" s="4">
        <f t="shared" si="36"/>
        <v>1</v>
      </c>
      <c r="BN4" s="4">
        <f t="shared" si="37"/>
        <v>1</v>
      </c>
      <c r="BO4" s="4">
        <f t="shared" si="38"/>
        <v>1</v>
      </c>
    </row>
    <row r="5" spans="1:67">
      <c r="A5" s="4">
        <v>0</v>
      </c>
      <c r="B5" s="4">
        <f>transform!A5</f>
        <v>1</v>
      </c>
      <c r="C5" s="4">
        <f>transform!B5</f>
        <v>1</v>
      </c>
      <c r="D5" s="4">
        <f>transform!C5</f>
        <v>4</v>
      </c>
      <c r="E5" s="4">
        <f>transform!D5</f>
        <v>40876</v>
      </c>
      <c r="F5" s="4">
        <f>transform!E5</f>
        <v>1</v>
      </c>
      <c r="G5" s="4">
        <f>transform!F5</f>
        <v>1986</v>
      </c>
      <c r="H5" s="4">
        <f>transform!G5</f>
        <v>4</v>
      </c>
      <c r="I5" s="4">
        <f>transform!H5</f>
        <v>2</v>
      </c>
      <c r="J5" s="4">
        <f>COUNTIF(Raw!AR5:CA5,1)/(COUNTIF(Raw!AR5:CA5,1)+COUNTIF(Raw!AR5:CA5,0))</f>
        <v>0.380952380952381</v>
      </c>
      <c r="K5" s="15">
        <v>0</v>
      </c>
      <c r="L5" s="15">
        <v>0</v>
      </c>
      <c r="M5" s="15">
        <v>0</v>
      </c>
      <c r="N5" s="4">
        <f>transform!CC5</f>
        <v>1</v>
      </c>
      <c r="O5" s="4">
        <f>transform!CD5</f>
        <v>1</v>
      </c>
      <c r="P5" s="4">
        <f>transform!CE5</f>
        <v>1</v>
      </c>
      <c r="Q5" s="4">
        <f>transform!CF5</f>
        <v>2</v>
      </c>
      <c r="R5" s="4">
        <f>transform!CG5</f>
        <v>1</v>
      </c>
      <c r="S5" s="4">
        <f>transform!CH5</f>
        <v>2</v>
      </c>
      <c r="T5" s="4">
        <f>transform!CI5</f>
        <v>1</v>
      </c>
      <c r="U5" s="4">
        <f>transform!CJ5</f>
        <v>1</v>
      </c>
      <c r="V5" s="4">
        <f t="shared" si="0"/>
        <v>1</v>
      </c>
      <c r="W5" s="4">
        <f t="shared" si="1"/>
        <v>0</v>
      </c>
      <c r="X5" s="4">
        <f t="shared" si="2"/>
        <v>2</v>
      </c>
      <c r="Y5" s="4">
        <f>transform!CK5</f>
        <v>1</v>
      </c>
      <c r="Z5" s="4">
        <f>transform!CL5</f>
        <v>1</v>
      </c>
      <c r="AA5" s="4">
        <f>transform!CM5</f>
        <v>2</v>
      </c>
      <c r="AB5" s="4">
        <f t="shared" si="3"/>
        <v>0</v>
      </c>
      <c r="AC5" s="4">
        <f t="shared" si="4"/>
        <v>1</v>
      </c>
      <c r="AD5" s="4">
        <f t="shared" si="5"/>
        <v>3</v>
      </c>
      <c r="AE5" s="4">
        <f>transform!CN5</f>
        <v>1</v>
      </c>
      <c r="AF5" s="4">
        <f>transform!CO5</f>
        <v>1</v>
      </c>
      <c r="AG5" s="4">
        <f>transform!CP5</f>
        <v>1</v>
      </c>
      <c r="AH5" s="4">
        <f t="shared" si="6"/>
        <v>1</v>
      </c>
      <c r="AI5" s="4">
        <f t="shared" si="7"/>
        <v>0</v>
      </c>
      <c r="AJ5" s="4">
        <f t="shared" si="8"/>
        <v>2</v>
      </c>
      <c r="AK5" s="4">
        <f>transform!CQ5</f>
        <v>2</v>
      </c>
      <c r="AL5" s="4">
        <f t="shared" si="9"/>
        <v>2</v>
      </c>
      <c r="AM5" s="4">
        <f t="shared" si="10"/>
        <v>1</v>
      </c>
      <c r="AN5" s="4">
        <f t="shared" si="11"/>
        <v>1</v>
      </c>
      <c r="AO5" s="4">
        <f t="shared" si="12"/>
        <v>1</v>
      </c>
      <c r="AP5" s="4">
        <f t="shared" si="13"/>
        <v>1</v>
      </c>
      <c r="AQ5" s="4">
        <f t="shared" si="14"/>
        <v>1</v>
      </c>
      <c r="AR5" s="4">
        <f t="shared" si="15"/>
        <v>2</v>
      </c>
      <c r="AS5" s="4">
        <f t="shared" si="16"/>
        <v>1</v>
      </c>
      <c r="AT5" s="4">
        <f t="shared" si="17"/>
        <v>1</v>
      </c>
      <c r="AU5" s="4">
        <f t="shared" si="18"/>
        <v>1</v>
      </c>
      <c r="AV5" s="4">
        <f t="shared" si="19"/>
        <v>2</v>
      </c>
      <c r="AW5" s="4">
        <f t="shared" si="20"/>
        <v>1</v>
      </c>
      <c r="AX5" s="4">
        <f t="shared" si="21"/>
        <v>1</v>
      </c>
      <c r="AY5" s="4">
        <f t="shared" si="22"/>
        <v>1</v>
      </c>
      <c r="AZ5" s="4">
        <f t="shared" si="23"/>
        <v>2</v>
      </c>
      <c r="BA5" s="4">
        <f t="shared" si="24"/>
        <v>1</v>
      </c>
      <c r="BB5" s="4">
        <f t="shared" si="25"/>
        <v>1</v>
      </c>
      <c r="BC5" s="4">
        <f t="shared" si="26"/>
        <v>1</v>
      </c>
      <c r="BD5" s="4">
        <f t="shared" si="27"/>
        <v>1</v>
      </c>
      <c r="BE5" s="4">
        <f t="shared" si="28"/>
        <v>1</v>
      </c>
      <c r="BF5" s="4">
        <f t="shared" si="29"/>
        <v>1</v>
      </c>
      <c r="BG5" s="4">
        <f t="shared" si="30"/>
        <v>1</v>
      </c>
      <c r="BH5" s="4">
        <f t="shared" si="31"/>
        <v>1</v>
      </c>
      <c r="BI5" s="4">
        <f t="shared" si="32"/>
        <v>2</v>
      </c>
      <c r="BJ5" s="4">
        <f t="shared" si="33"/>
        <v>1</v>
      </c>
      <c r="BK5" s="4">
        <f t="shared" si="34"/>
        <v>1</v>
      </c>
      <c r="BL5" s="4">
        <f t="shared" si="35"/>
        <v>1</v>
      </c>
      <c r="BM5" s="4">
        <f t="shared" si="36"/>
        <v>1</v>
      </c>
      <c r="BN5" s="4">
        <f t="shared" si="37"/>
        <v>2</v>
      </c>
      <c r="BO5" s="4">
        <f t="shared" si="38"/>
        <v>1</v>
      </c>
    </row>
    <row r="6" spans="1:67">
      <c r="A6" s="4">
        <v>0</v>
      </c>
      <c r="B6" s="4">
        <f>transform!A6</f>
        <v>1</v>
      </c>
      <c r="C6" s="4">
        <f>transform!B6</f>
        <v>1</v>
      </c>
      <c r="D6" s="4">
        <f>transform!C6</f>
        <v>5</v>
      </c>
      <c r="E6" s="4">
        <f>transform!D6</f>
        <v>40876</v>
      </c>
      <c r="F6" s="4">
        <f>transform!E6</f>
        <v>1</v>
      </c>
      <c r="G6" s="4">
        <f>transform!F6</f>
        <v>1989</v>
      </c>
      <c r="H6" s="4">
        <f>transform!G6</f>
        <v>3</v>
      </c>
      <c r="I6" s="4">
        <f>transform!H6</f>
        <v>1</v>
      </c>
      <c r="J6" s="4">
        <f>COUNTIF(Raw!AR6:CA6,1)/(COUNTIF(Raw!AR6:CA6,1)+COUNTIF(Raw!AR6:CA6,0))</f>
        <v>0.666666666666667</v>
      </c>
      <c r="K6" s="15">
        <v>1</v>
      </c>
      <c r="L6" s="15">
        <v>1</v>
      </c>
      <c r="M6" s="15">
        <v>1</v>
      </c>
      <c r="N6" s="4">
        <f>transform!CC6</f>
        <v>2</v>
      </c>
      <c r="O6" s="4">
        <f>transform!CD6</f>
        <v>2</v>
      </c>
      <c r="P6" s="4">
        <f>transform!CE6</f>
        <v>2</v>
      </c>
      <c r="Q6" s="4">
        <f>transform!CF6</f>
        <v>2</v>
      </c>
      <c r="R6" s="4">
        <f>transform!CG6</f>
        <v>2</v>
      </c>
      <c r="S6" s="4">
        <f>transform!CH6</f>
        <v>2</v>
      </c>
      <c r="T6" s="4">
        <f>transform!CI6</f>
        <v>1</v>
      </c>
      <c r="U6" s="4">
        <f>transform!CJ6</f>
        <v>2</v>
      </c>
      <c r="V6" s="4">
        <f t="shared" si="0"/>
        <v>0</v>
      </c>
      <c r="W6" s="4">
        <f t="shared" si="1"/>
        <v>1</v>
      </c>
      <c r="X6" s="4">
        <f t="shared" si="2"/>
        <v>3</v>
      </c>
      <c r="Y6" s="4">
        <f>transform!CK6</f>
        <v>2</v>
      </c>
      <c r="Z6" s="4">
        <f>transform!CL6</f>
        <v>1</v>
      </c>
      <c r="AA6" s="4">
        <f>transform!CM6</f>
        <v>2</v>
      </c>
      <c r="AB6" s="4">
        <f t="shared" si="3"/>
        <v>0</v>
      </c>
      <c r="AC6" s="4">
        <f t="shared" si="4"/>
        <v>1</v>
      </c>
      <c r="AD6" s="4">
        <f t="shared" si="5"/>
        <v>3</v>
      </c>
      <c r="AE6" s="4">
        <f>transform!CN6</f>
        <v>2</v>
      </c>
      <c r="AF6" s="4">
        <f>transform!CO6</f>
        <v>1</v>
      </c>
      <c r="AG6" s="4">
        <f>transform!CP6</f>
        <v>2</v>
      </c>
      <c r="AH6" s="4">
        <f t="shared" si="6"/>
        <v>0</v>
      </c>
      <c r="AI6" s="4">
        <f t="shared" si="7"/>
        <v>1</v>
      </c>
      <c r="AJ6" s="4">
        <f t="shared" si="8"/>
        <v>3</v>
      </c>
      <c r="AK6" s="4">
        <f>transform!CQ6</f>
        <v>2</v>
      </c>
      <c r="AL6" s="4">
        <f t="shared" si="9"/>
        <v>1</v>
      </c>
      <c r="AM6" s="4">
        <f t="shared" si="10"/>
        <v>2</v>
      </c>
      <c r="AN6" s="4">
        <f t="shared" si="11"/>
        <v>1</v>
      </c>
      <c r="AO6" s="4">
        <f t="shared" si="12"/>
        <v>1</v>
      </c>
      <c r="AP6" s="4">
        <f t="shared" si="13"/>
        <v>1</v>
      </c>
      <c r="AQ6" s="4">
        <f t="shared" si="14"/>
        <v>2</v>
      </c>
      <c r="AR6" s="4">
        <f t="shared" si="15"/>
        <v>1</v>
      </c>
      <c r="AS6" s="4">
        <f t="shared" si="16"/>
        <v>1</v>
      </c>
      <c r="AT6" s="4">
        <f t="shared" si="17"/>
        <v>1</v>
      </c>
      <c r="AU6" s="4">
        <f t="shared" si="18"/>
        <v>2</v>
      </c>
      <c r="AV6" s="4">
        <f t="shared" si="19"/>
        <v>1</v>
      </c>
      <c r="AW6" s="4">
        <f t="shared" si="20"/>
        <v>1</v>
      </c>
      <c r="AX6" s="4">
        <f t="shared" si="21"/>
        <v>1</v>
      </c>
      <c r="AY6" s="4">
        <f t="shared" si="22"/>
        <v>1</v>
      </c>
      <c r="AZ6" s="4">
        <f t="shared" si="23"/>
        <v>1</v>
      </c>
      <c r="BA6" s="4">
        <f t="shared" si="24"/>
        <v>2</v>
      </c>
      <c r="BB6" s="4">
        <f t="shared" si="25"/>
        <v>1</v>
      </c>
      <c r="BC6" s="4">
        <f t="shared" si="26"/>
        <v>1</v>
      </c>
      <c r="BD6" s="4">
        <f t="shared" si="27"/>
        <v>1</v>
      </c>
      <c r="BE6" s="4">
        <f t="shared" si="28"/>
        <v>1</v>
      </c>
      <c r="BF6" s="4">
        <f t="shared" si="29"/>
        <v>1</v>
      </c>
      <c r="BG6" s="4">
        <f t="shared" si="30"/>
        <v>2</v>
      </c>
      <c r="BH6" s="4">
        <f t="shared" si="31"/>
        <v>1</v>
      </c>
      <c r="BI6" s="4">
        <f t="shared" si="32"/>
        <v>1</v>
      </c>
      <c r="BJ6" s="4">
        <f t="shared" si="33"/>
        <v>1</v>
      </c>
      <c r="BK6" s="4">
        <f t="shared" si="34"/>
        <v>1</v>
      </c>
      <c r="BL6" s="4">
        <f t="shared" si="35"/>
        <v>1</v>
      </c>
      <c r="BM6" s="4">
        <f t="shared" si="36"/>
        <v>2</v>
      </c>
      <c r="BN6" s="4">
        <f t="shared" si="37"/>
        <v>1</v>
      </c>
      <c r="BO6" s="4">
        <f t="shared" si="38"/>
        <v>1</v>
      </c>
    </row>
    <row r="7" spans="1:67">
      <c r="A7" s="4">
        <v>0</v>
      </c>
      <c r="B7" s="4">
        <f>transform!A7</f>
        <v>1</v>
      </c>
      <c r="C7" s="4">
        <f>transform!B7</f>
        <v>1</v>
      </c>
      <c r="D7" s="4">
        <f>transform!C7</f>
        <v>6</v>
      </c>
      <c r="E7" s="4">
        <f>transform!D7</f>
        <v>40876</v>
      </c>
      <c r="F7" s="4">
        <f>transform!E7</f>
        <v>1</v>
      </c>
      <c r="G7" s="4">
        <f>transform!F7</f>
        <v>1984</v>
      </c>
      <c r="H7" s="4">
        <f>transform!G7</f>
        <v>5</v>
      </c>
      <c r="I7" s="4">
        <f>transform!H7</f>
        <v>1</v>
      </c>
      <c r="J7" s="4">
        <f>COUNTIF(Raw!AR7:CA7,1)/(COUNTIF(Raw!AR7:CA7,1)+COUNTIF(Raw!AR7:CA7,0))</f>
        <v>0.727272727272727</v>
      </c>
      <c r="K7" s="15">
        <v>0.285714285714286</v>
      </c>
      <c r="L7" s="15">
        <v>1</v>
      </c>
      <c r="M7" s="15">
        <v>0</v>
      </c>
      <c r="N7" s="4">
        <f>transform!CC7</f>
        <v>2</v>
      </c>
      <c r="O7" s="4">
        <f>transform!CD7</f>
        <v>2</v>
      </c>
      <c r="P7" s="4">
        <f>transform!CE7</f>
        <v>1</v>
      </c>
      <c r="Q7" s="4">
        <f>transform!CF7</f>
        <v>2</v>
      </c>
      <c r="R7" s="4">
        <f>transform!CG7</f>
        <v>1</v>
      </c>
      <c r="S7" s="4">
        <f>transform!CH7</f>
        <v>2</v>
      </c>
      <c r="T7" s="4">
        <f>transform!CI7</f>
        <v>0</v>
      </c>
      <c r="U7" s="4">
        <f>transform!CJ7</f>
        <v>1</v>
      </c>
      <c r="V7" s="4">
        <f t="shared" si="0"/>
        <v>0</v>
      </c>
      <c r="W7" s="4">
        <f t="shared" si="1"/>
        <v>0</v>
      </c>
      <c r="X7" s="4">
        <f t="shared" si="2"/>
        <v>1</v>
      </c>
      <c r="Y7" s="4">
        <f>transform!CK7</f>
        <v>2</v>
      </c>
      <c r="Z7" s="4">
        <f>transform!CL7</f>
        <v>1</v>
      </c>
      <c r="AA7" s="4">
        <f>transform!CM7</f>
        <v>1</v>
      </c>
      <c r="AB7" s="4">
        <f t="shared" si="3"/>
        <v>1</v>
      </c>
      <c r="AC7" s="4">
        <f t="shared" si="4"/>
        <v>0</v>
      </c>
      <c r="AD7" s="4">
        <f t="shared" si="5"/>
        <v>2</v>
      </c>
      <c r="AE7" s="4">
        <f>transform!CN7</f>
        <v>2</v>
      </c>
      <c r="AF7" s="4">
        <f>transform!CO7</f>
        <v>0</v>
      </c>
      <c r="AG7" s="4">
        <f>transform!CP7</f>
        <v>1</v>
      </c>
      <c r="AH7" s="4">
        <f t="shared" si="6"/>
        <v>0</v>
      </c>
      <c r="AI7" s="4">
        <f t="shared" si="7"/>
        <v>0</v>
      </c>
      <c r="AJ7" s="4">
        <f t="shared" si="8"/>
        <v>1</v>
      </c>
      <c r="AK7" s="4">
        <f>transform!CQ7</f>
        <v>2</v>
      </c>
      <c r="AL7" s="4">
        <f t="shared" si="9"/>
        <v>1</v>
      </c>
      <c r="AM7" s="4">
        <f t="shared" si="10"/>
        <v>2</v>
      </c>
      <c r="AN7" s="4">
        <f t="shared" si="11"/>
        <v>1</v>
      </c>
      <c r="AO7" s="4">
        <f t="shared" si="12"/>
        <v>1</v>
      </c>
      <c r="AP7" s="4">
        <f t="shared" si="13"/>
        <v>1</v>
      </c>
      <c r="AQ7" s="4">
        <f t="shared" si="14"/>
        <v>1</v>
      </c>
      <c r="AR7" s="4">
        <f t="shared" si="15"/>
        <v>2</v>
      </c>
      <c r="AS7" s="4">
        <f t="shared" si="16"/>
        <v>1</v>
      </c>
      <c r="AT7" s="4">
        <f t="shared" si="17"/>
        <v>1</v>
      </c>
      <c r="AU7" s="4">
        <f t="shared" si="18"/>
        <v>1</v>
      </c>
      <c r="AV7" s="4">
        <f t="shared" si="19"/>
        <v>2</v>
      </c>
      <c r="AW7" s="4">
        <f t="shared" si="20"/>
        <v>1</v>
      </c>
      <c r="AX7" s="4">
        <f t="shared" si="21"/>
        <v>1</v>
      </c>
      <c r="AY7" s="4">
        <f t="shared" si="22"/>
        <v>2</v>
      </c>
      <c r="AZ7" s="4">
        <f t="shared" si="23"/>
        <v>1</v>
      </c>
      <c r="BA7" s="4">
        <f t="shared" si="24"/>
        <v>1</v>
      </c>
      <c r="BB7" s="4">
        <f t="shared" si="25"/>
        <v>1</v>
      </c>
      <c r="BC7" s="4">
        <f t="shared" si="26"/>
        <v>1</v>
      </c>
      <c r="BD7" s="4">
        <f t="shared" si="27"/>
        <v>1</v>
      </c>
      <c r="BE7" s="4">
        <f t="shared" si="28"/>
        <v>1</v>
      </c>
      <c r="BF7" s="4">
        <f t="shared" si="29"/>
        <v>1</v>
      </c>
      <c r="BG7" s="4">
        <f t="shared" si="30"/>
        <v>1</v>
      </c>
      <c r="BH7" s="4">
        <f t="shared" si="31"/>
        <v>2</v>
      </c>
      <c r="BI7" s="4">
        <f t="shared" si="32"/>
        <v>1</v>
      </c>
      <c r="BJ7" s="4">
        <f t="shared" si="33"/>
        <v>1</v>
      </c>
      <c r="BK7" s="4">
        <f t="shared" si="34"/>
        <v>2</v>
      </c>
      <c r="BL7" s="4">
        <f t="shared" si="35"/>
        <v>1</v>
      </c>
      <c r="BM7" s="4">
        <f t="shared" si="36"/>
        <v>1</v>
      </c>
      <c r="BN7" s="4">
        <f t="shared" si="37"/>
        <v>1</v>
      </c>
      <c r="BO7" s="4">
        <f t="shared" si="38"/>
        <v>1</v>
      </c>
    </row>
    <row r="8" spans="1:67">
      <c r="A8" s="4">
        <v>0</v>
      </c>
      <c r="B8" s="4">
        <f>transform!A8</f>
        <v>1</v>
      </c>
      <c r="C8" s="4">
        <f>transform!B8</f>
        <v>1</v>
      </c>
      <c r="D8" s="4">
        <f>transform!C8</f>
        <v>8</v>
      </c>
      <c r="E8" s="4">
        <f>transform!D8</f>
        <v>40876</v>
      </c>
      <c r="F8" s="4">
        <f>transform!E8</f>
        <v>1</v>
      </c>
      <c r="G8" s="4">
        <f>transform!F8</f>
        <v>1989</v>
      </c>
      <c r="H8" s="4">
        <f>transform!G8</f>
        <v>4</v>
      </c>
      <c r="I8" s="4">
        <f>transform!H8</f>
        <v>1</v>
      </c>
      <c r="J8" s="4">
        <f>COUNTIF(Raw!AR8:CA8,1)/(COUNTIF(Raw!AR8:CA8,1)+COUNTIF(Raw!AR8:CA8,0))</f>
        <v>0.333333333333333</v>
      </c>
      <c r="K8" s="15">
        <v>0</v>
      </c>
      <c r="L8" s="15">
        <v>0</v>
      </c>
      <c r="M8" s="15">
        <v>0</v>
      </c>
      <c r="N8" s="4">
        <f>transform!CC8</f>
        <v>1</v>
      </c>
      <c r="O8" s="4">
        <f>transform!CD8</f>
        <v>1</v>
      </c>
      <c r="P8" s="4">
        <f>transform!CE8</f>
        <v>1</v>
      </c>
      <c r="Q8" s="4">
        <f>transform!CF8</f>
        <v>2</v>
      </c>
      <c r="R8" s="4">
        <f>transform!CG8</f>
        <v>1</v>
      </c>
      <c r="S8" s="4">
        <f>transform!CH8</f>
        <v>2</v>
      </c>
      <c r="T8" s="4">
        <f>transform!CI8</f>
        <v>1</v>
      </c>
      <c r="U8" s="4">
        <f>transform!CJ8</f>
        <v>1</v>
      </c>
      <c r="V8" s="4">
        <f t="shared" si="0"/>
        <v>1</v>
      </c>
      <c r="W8" s="4">
        <f t="shared" si="1"/>
        <v>0</v>
      </c>
      <c r="X8" s="4">
        <f t="shared" si="2"/>
        <v>2</v>
      </c>
      <c r="Y8" s="4">
        <f>transform!CK8</f>
        <v>2</v>
      </c>
      <c r="Z8" s="4">
        <f>transform!CL8</f>
        <v>1</v>
      </c>
      <c r="AA8" s="4">
        <f>transform!CM8</f>
        <v>1</v>
      </c>
      <c r="AB8" s="4">
        <f t="shared" si="3"/>
        <v>1</v>
      </c>
      <c r="AC8" s="4">
        <f t="shared" si="4"/>
        <v>0</v>
      </c>
      <c r="AD8" s="4">
        <f t="shared" si="5"/>
        <v>2</v>
      </c>
      <c r="AE8" s="4">
        <f>transform!CN8</f>
        <v>2</v>
      </c>
      <c r="AF8" s="4">
        <f>transform!CO8</f>
        <v>0</v>
      </c>
      <c r="AG8" s="4">
        <f>transform!CP8</f>
        <v>1</v>
      </c>
      <c r="AH8" s="4">
        <f t="shared" si="6"/>
        <v>0</v>
      </c>
      <c r="AI8" s="4">
        <f t="shared" si="7"/>
        <v>0</v>
      </c>
      <c r="AJ8" s="4">
        <f t="shared" si="8"/>
        <v>1</v>
      </c>
      <c r="AK8" s="4">
        <f>transform!CQ8</f>
        <v>2</v>
      </c>
      <c r="AL8" s="4">
        <f t="shared" si="9"/>
        <v>2</v>
      </c>
      <c r="AM8" s="4">
        <f t="shared" si="10"/>
        <v>1</v>
      </c>
      <c r="AN8" s="4">
        <f t="shared" si="11"/>
        <v>1</v>
      </c>
      <c r="AO8" s="4">
        <f t="shared" si="12"/>
        <v>1</v>
      </c>
      <c r="AP8" s="4">
        <f t="shared" si="13"/>
        <v>1</v>
      </c>
      <c r="AQ8" s="4">
        <f t="shared" si="14"/>
        <v>1</v>
      </c>
      <c r="AR8" s="4">
        <f t="shared" si="15"/>
        <v>2</v>
      </c>
      <c r="AS8" s="4">
        <f t="shared" si="16"/>
        <v>1</v>
      </c>
      <c r="AT8" s="4">
        <f t="shared" si="17"/>
        <v>1</v>
      </c>
      <c r="AU8" s="4">
        <f t="shared" si="18"/>
        <v>1</v>
      </c>
      <c r="AV8" s="4">
        <f t="shared" si="19"/>
        <v>2</v>
      </c>
      <c r="AW8" s="4">
        <f t="shared" si="20"/>
        <v>1</v>
      </c>
      <c r="AX8" s="4">
        <f t="shared" si="21"/>
        <v>1</v>
      </c>
      <c r="AY8" s="4">
        <f t="shared" si="22"/>
        <v>1</v>
      </c>
      <c r="AZ8" s="4">
        <f t="shared" si="23"/>
        <v>1</v>
      </c>
      <c r="BA8" s="4">
        <f t="shared" si="24"/>
        <v>1</v>
      </c>
      <c r="BB8" s="4">
        <f t="shared" si="25"/>
        <v>2</v>
      </c>
      <c r="BC8" s="4">
        <f t="shared" si="26"/>
        <v>1</v>
      </c>
      <c r="BD8" s="4">
        <f t="shared" si="27"/>
        <v>1</v>
      </c>
      <c r="BE8" s="4">
        <f t="shared" si="28"/>
        <v>1</v>
      </c>
      <c r="BF8" s="4">
        <f t="shared" si="29"/>
        <v>1</v>
      </c>
      <c r="BG8" s="4">
        <f t="shared" si="30"/>
        <v>1</v>
      </c>
      <c r="BH8" s="4">
        <f t="shared" si="31"/>
        <v>2</v>
      </c>
      <c r="BI8" s="4">
        <f t="shared" si="32"/>
        <v>1</v>
      </c>
      <c r="BJ8" s="4">
        <f t="shared" si="33"/>
        <v>1</v>
      </c>
      <c r="BK8" s="4">
        <f t="shared" si="34"/>
        <v>2</v>
      </c>
      <c r="BL8" s="4">
        <f t="shared" si="35"/>
        <v>1</v>
      </c>
      <c r="BM8" s="4">
        <f t="shared" si="36"/>
        <v>1</v>
      </c>
      <c r="BN8" s="4">
        <f t="shared" si="37"/>
        <v>1</v>
      </c>
      <c r="BO8" s="4">
        <f t="shared" si="38"/>
        <v>1</v>
      </c>
    </row>
    <row r="9" spans="1:67">
      <c r="A9" s="4">
        <v>0</v>
      </c>
      <c r="B9" s="4">
        <f>transform!A9</f>
        <v>1</v>
      </c>
      <c r="C9" s="4">
        <f>transform!B9</f>
        <v>1</v>
      </c>
      <c r="D9" s="4">
        <f>transform!C9</f>
        <v>9</v>
      </c>
      <c r="E9" s="4">
        <f>transform!D9</f>
        <v>40876</v>
      </c>
      <c r="F9" s="4">
        <f>transform!E9</f>
        <v>1</v>
      </c>
      <c r="G9" s="4">
        <f>transform!F9</f>
        <v>1989</v>
      </c>
      <c r="H9" s="4">
        <f>transform!G9</f>
        <v>2</v>
      </c>
      <c r="I9" s="4">
        <f>transform!H9</f>
        <v>1</v>
      </c>
      <c r="J9" s="4">
        <f>COUNTIF(Raw!AR9:CA9,1)/(COUNTIF(Raw!AR9:CA9,1)+COUNTIF(Raw!AR9:CA9,0))</f>
        <v>0.357142857142857</v>
      </c>
      <c r="K9" s="15">
        <v>0</v>
      </c>
      <c r="L9" s="15">
        <v>0</v>
      </c>
      <c r="M9" s="15">
        <v>0</v>
      </c>
      <c r="N9" s="4">
        <f>transform!CC9</f>
        <v>2</v>
      </c>
      <c r="O9" s="4">
        <f>transform!CD9</f>
        <v>2</v>
      </c>
      <c r="P9" s="4">
        <f>transform!CE9</f>
        <v>2</v>
      </c>
      <c r="Q9" s="4">
        <f>transform!CF9</f>
        <v>2</v>
      </c>
      <c r="R9" s="4">
        <f>transform!CG9</f>
        <v>2</v>
      </c>
      <c r="S9" s="4">
        <f>transform!CH9</f>
        <v>2</v>
      </c>
      <c r="T9" s="4">
        <f>transform!CI9</f>
        <v>1</v>
      </c>
      <c r="U9" s="4">
        <f>transform!CJ9</f>
        <v>1</v>
      </c>
      <c r="V9" s="4">
        <f t="shared" si="0"/>
        <v>1</v>
      </c>
      <c r="W9" s="4">
        <f t="shared" si="1"/>
        <v>0</v>
      </c>
      <c r="X9" s="4">
        <f t="shared" si="2"/>
        <v>2</v>
      </c>
      <c r="Y9" s="4">
        <f>transform!CK9</f>
        <v>2</v>
      </c>
      <c r="Z9" s="4">
        <f>transform!CL9</f>
        <v>1</v>
      </c>
      <c r="AA9" s="4">
        <f>transform!CM9</f>
        <v>1</v>
      </c>
      <c r="AB9" s="4">
        <f t="shared" si="3"/>
        <v>1</v>
      </c>
      <c r="AC9" s="4">
        <f t="shared" si="4"/>
        <v>0</v>
      </c>
      <c r="AD9" s="4">
        <f t="shared" si="5"/>
        <v>2</v>
      </c>
      <c r="AE9" s="4">
        <f>transform!CN9</f>
        <v>2</v>
      </c>
      <c r="AF9" s="4">
        <f>transform!CO9</f>
        <v>0</v>
      </c>
      <c r="AG9" s="4">
        <f>transform!CP9</f>
        <v>2</v>
      </c>
      <c r="AH9" s="4">
        <f t="shared" si="6"/>
        <v>0</v>
      </c>
      <c r="AI9" s="4">
        <f t="shared" si="7"/>
        <v>0</v>
      </c>
      <c r="AJ9" s="4">
        <f t="shared" si="8"/>
        <v>1</v>
      </c>
      <c r="AK9" s="4">
        <f>transform!CQ9</f>
        <v>2</v>
      </c>
      <c r="AL9" s="4">
        <f t="shared" si="9"/>
        <v>1</v>
      </c>
      <c r="AM9" s="4">
        <f t="shared" si="10"/>
        <v>2</v>
      </c>
      <c r="AN9" s="4">
        <f t="shared" si="11"/>
        <v>1</v>
      </c>
      <c r="AO9" s="4">
        <f t="shared" si="12"/>
        <v>1</v>
      </c>
      <c r="AP9" s="4">
        <f t="shared" si="13"/>
        <v>1</v>
      </c>
      <c r="AQ9" s="4">
        <f t="shared" si="14"/>
        <v>2</v>
      </c>
      <c r="AR9" s="4">
        <f t="shared" si="15"/>
        <v>1</v>
      </c>
      <c r="AS9" s="4">
        <f t="shared" si="16"/>
        <v>1</v>
      </c>
      <c r="AT9" s="4">
        <f t="shared" si="17"/>
        <v>1</v>
      </c>
      <c r="AU9" s="4">
        <f t="shared" si="18"/>
        <v>2</v>
      </c>
      <c r="AV9" s="4">
        <f t="shared" si="19"/>
        <v>1</v>
      </c>
      <c r="AW9" s="4">
        <f t="shared" si="20"/>
        <v>1</v>
      </c>
      <c r="AX9" s="4">
        <f t="shared" si="21"/>
        <v>1</v>
      </c>
      <c r="AY9" s="4">
        <f t="shared" si="22"/>
        <v>1</v>
      </c>
      <c r="AZ9" s="4">
        <f t="shared" si="23"/>
        <v>1</v>
      </c>
      <c r="BA9" s="4">
        <f t="shared" si="24"/>
        <v>1</v>
      </c>
      <c r="BB9" s="4">
        <f t="shared" si="25"/>
        <v>2</v>
      </c>
      <c r="BC9" s="4">
        <f t="shared" si="26"/>
        <v>1</v>
      </c>
      <c r="BD9" s="4">
        <f t="shared" si="27"/>
        <v>1</v>
      </c>
      <c r="BE9" s="4">
        <f t="shared" si="28"/>
        <v>1</v>
      </c>
      <c r="BF9" s="4">
        <f t="shared" si="29"/>
        <v>1</v>
      </c>
      <c r="BG9" s="4">
        <f t="shared" si="30"/>
        <v>1</v>
      </c>
      <c r="BH9" s="4">
        <f t="shared" si="31"/>
        <v>2</v>
      </c>
      <c r="BI9" s="4">
        <f t="shared" si="32"/>
        <v>1</v>
      </c>
      <c r="BJ9" s="4">
        <f t="shared" si="33"/>
        <v>1</v>
      </c>
      <c r="BK9" s="4">
        <f t="shared" si="34"/>
        <v>2</v>
      </c>
      <c r="BL9" s="4">
        <f t="shared" si="35"/>
        <v>1</v>
      </c>
      <c r="BM9" s="4">
        <f t="shared" si="36"/>
        <v>1</v>
      </c>
      <c r="BN9" s="4">
        <f t="shared" si="37"/>
        <v>1</v>
      </c>
      <c r="BO9" s="4">
        <f t="shared" si="38"/>
        <v>1</v>
      </c>
    </row>
    <row r="10" spans="1:67">
      <c r="A10" s="4">
        <v>0</v>
      </c>
      <c r="B10" s="4">
        <f>transform!A10</f>
        <v>2</v>
      </c>
      <c r="C10" s="4">
        <f>transform!B10</f>
        <v>1</v>
      </c>
      <c r="D10" s="4">
        <f>transform!C10</f>
        <v>1</v>
      </c>
      <c r="E10" s="4">
        <f>transform!D10</f>
        <v>40876</v>
      </c>
      <c r="F10" s="4">
        <f>transform!E10</f>
        <v>1</v>
      </c>
      <c r="G10" s="4">
        <f>transform!F10</f>
        <v>1989</v>
      </c>
      <c r="H10" s="4">
        <f>transform!G10</f>
        <v>1</v>
      </c>
      <c r="I10" s="4">
        <f>transform!H10</f>
        <v>1</v>
      </c>
      <c r="J10" s="4">
        <f>COUNTIF(Raw!AR10:CA10,1)/(COUNTIF(Raw!AR10:CA10,1)+COUNTIF(Raw!AR10:CA10,0))</f>
        <v>0.666666666666667</v>
      </c>
      <c r="K10" s="15">
        <v>0.5</v>
      </c>
      <c r="L10" s="15">
        <v>1</v>
      </c>
      <c r="M10" s="15">
        <v>1</v>
      </c>
      <c r="N10" s="4">
        <f>transform!CC10</f>
        <v>1</v>
      </c>
      <c r="O10" s="4">
        <f>transform!CD10</f>
        <v>2</v>
      </c>
      <c r="P10" s="4">
        <f>transform!CE10</f>
        <v>1</v>
      </c>
      <c r="Q10" s="4">
        <f>transform!CF10</f>
        <v>2</v>
      </c>
      <c r="R10" s="4">
        <f>transform!CG10</f>
        <v>1</v>
      </c>
      <c r="S10" s="4">
        <f>transform!CH10</f>
        <v>2</v>
      </c>
      <c r="T10" s="4">
        <f>transform!CI10</f>
        <v>1</v>
      </c>
      <c r="U10" s="4">
        <f>transform!CJ10</f>
        <v>1</v>
      </c>
      <c r="V10" s="4">
        <f t="shared" si="0"/>
        <v>1</v>
      </c>
      <c r="W10" s="4">
        <f t="shared" si="1"/>
        <v>0</v>
      </c>
      <c r="X10" s="4">
        <f t="shared" si="2"/>
        <v>2</v>
      </c>
      <c r="Y10" s="4">
        <f>transform!CK10</f>
        <v>2</v>
      </c>
      <c r="Z10" s="4">
        <f>transform!CL10</f>
        <v>0</v>
      </c>
      <c r="AA10" s="4">
        <f>transform!CM10</f>
        <v>1</v>
      </c>
      <c r="AB10" s="4">
        <f t="shared" si="3"/>
        <v>0</v>
      </c>
      <c r="AC10" s="4">
        <f t="shared" si="4"/>
        <v>0</v>
      </c>
      <c r="AD10" s="4">
        <f t="shared" si="5"/>
        <v>1</v>
      </c>
      <c r="AE10" s="4">
        <f>transform!CN10</f>
        <v>2</v>
      </c>
      <c r="AF10" s="4">
        <f>transform!CO10</f>
        <v>0</v>
      </c>
      <c r="AG10" s="4">
        <f>transform!CP10</f>
        <v>1</v>
      </c>
      <c r="AH10" s="4">
        <f t="shared" si="6"/>
        <v>0</v>
      </c>
      <c r="AI10" s="4">
        <f t="shared" si="7"/>
        <v>0</v>
      </c>
      <c r="AJ10" s="4">
        <f t="shared" si="8"/>
        <v>1</v>
      </c>
      <c r="AK10" s="4">
        <f>transform!CQ10</f>
        <v>2</v>
      </c>
      <c r="AL10" s="4">
        <f t="shared" si="9"/>
        <v>1</v>
      </c>
      <c r="AM10" s="4">
        <f t="shared" si="10"/>
        <v>1</v>
      </c>
      <c r="AN10" s="4">
        <f t="shared" si="11"/>
        <v>2</v>
      </c>
      <c r="AO10" s="4">
        <f t="shared" si="12"/>
        <v>1</v>
      </c>
      <c r="AP10" s="4">
        <f t="shared" si="13"/>
        <v>1</v>
      </c>
      <c r="AQ10" s="4">
        <f t="shared" si="14"/>
        <v>1</v>
      </c>
      <c r="AR10" s="4">
        <f t="shared" si="15"/>
        <v>2</v>
      </c>
      <c r="AS10" s="4">
        <f t="shared" si="16"/>
        <v>1</v>
      </c>
      <c r="AT10" s="4">
        <f t="shared" si="17"/>
        <v>1</v>
      </c>
      <c r="AU10" s="4">
        <f t="shared" si="18"/>
        <v>1</v>
      </c>
      <c r="AV10" s="4">
        <f t="shared" si="19"/>
        <v>2</v>
      </c>
      <c r="AW10" s="4">
        <f t="shared" si="20"/>
        <v>1</v>
      </c>
      <c r="AX10" s="4">
        <f t="shared" si="21"/>
        <v>1</v>
      </c>
      <c r="AY10" s="4">
        <f t="shared" si="22"/>
        <v>1</v>
      </c>
      <c r="AZ10" s="4">
        <f t="shared" si="23"/>
        <v>1</v>
      </c>
      <c r="BA10" s="4">
        <f t="shared" si="24"/>
        <v>1</v>
      </c>
      <c r="BB10" s="4">
        <f t="shared" si="25"/>
        <v>2</v>
      </c>
      <c r="BC10" s="4">
        <f t="shared" si="26"/>
        <v>1</v>
      </c>
      <c r="BD10" s="4">
        <f t="shared" si="27"/>
        <v>1</v>
      </c>
      <c r="BE10" s="4">
        <f t="shared" si="28"/>
        <v>2</v>
      </c>
      <c r="BF10" s="4">
        <f t="shared" si="29"/>
        <v>1</v>
      </c>
      <c r="BG10" s="4">
        <f t="shared" si="30"/>
        <v>1</v>
      </c>
      <c r="BH10" s="4">
        <f t="shared" si="31"/>
        <v>1</v>
      </c>
      <c r="BI10" s="4">
        <f t="shared" si="32"/>
        <v>1</v>
      </c>
      <c r="BJ10" s="4">
        <f t="shared" si="33"/>
        <v>1</v>
      </c>
      <c r="BK10" s="4">
        <f t="shared" si="34"/>
        <v>2</v>
      </c>
      <c r="BL10" s="4">
        <f t="shared" si="35"/>
        <v>1</v>
      </c>
      <c r="BM10" s="4">
        <f t="shared" si="36"/>
        <v>1</v>
      </c>
      <c r="BN10" s="4">
        <f t="shared" si="37"/>
        <v>1</v>
      </c>
      <c r="BO10" s="4">
        <f t="shared" si="38"/>
        <v>1</v>
      </c>
    </row>
    <row r="11" spans="1:67">
      <c r="A11" s="4">
        <v>0</v>
      </c>
      <c r="B11" s="4">
        <f>transform!A11</f>
        <v>2</v>
      </c>
      <c r="C11" s="4">
        <f>transform!B11</f>
        <v>1</v>
      </c>
      <c r="D11" s="4">
        <f>transform!C11</f>
        <v>3</v>
      </c>
      <c r="E11" s="4">
        <f>transform!D11</f>
        <v>40876</v>
      </c>
      <c r="F11" s="4">
        <f>transform!E11</f>
        <v>1</v>
      </c>
      <c r="G11" s="4">
        <f>transform!F11</f>
        <v>1982</v>
      </c>
      <c r="H11" s="4">
        <f>transform!G11</f>
        <v>5</v>
      </c>
      <c r="I11" s="4">
        <f>transform!H11</f>
        <v>1</v>
      </c>
      <c r="J11" s="4">
        <f>COUNTIF(Raw!AR11:CA11,1)/(COUNTIF(Raw!AR11:CA11,1)+COUNTIF(Raw!AR11:CA11,0))</f>
        <v>1</v>
      </c>
      <c r="K11" s="15">
        <v>1</v>
      </c>
      <c r="L11" s="15">
        <v>1</v>
      </c>
      <c r="M11" s="15">
        <v>1</v>
      </c>
      <c r="N11" s="4">
        <f>transform!CC11</f>
        <v>2</v>
      </c>
      <c r="O11" s="4">
        <f>transform!CD11</f>
        <v>2</v>
      </c>
      <c r="P11" s="4">
        <f>transform!CE11</f>
        <v>2</v>
      </c>
      <c r="Q11" s="4">
        <f>transform!CF11</f>
        <v>2</v>
      </c>
      <c r="R11" s="4">
        <f>transform!CG11</f>
        <v>2</v>
      </c>
      <c r="S11" s="4">
        <f>transform!CH11</f>
        <v>2</v>
      </c>
      <c r="T11" s="4">
        <f>transform!CI11</f>
        <v>0</v>
      </c>
      <c r="U11" s="4">
        <f>transform!CJ11</f>
        <v>2</v>
      </c>
      <c r="V11" s="4">
        <f t="shared" si="0"/>
        <v>0</v>
      </c>
      <c r="W11" s="4">
        <f t="shared" si="1"/>
        <v>0</v>
      </c>
      <c r="X11" s="4">
        <f t="shared" si="2"/>
        <v>1</v>
      </c>
      <c r="Y11" s="4">
        <f>transform!CK11</f>
        <v>2</v>
      </c>
      <c r="Z11" s="4">
        <f>transform!CL11</f>
        <v>0</v>
      </c>
      <c r="AA11" s="4">
        <f>transform!CM11</f>
        <v>2</v>
      </c>
      <c r="AB11" s="4">
        <f t="shared" si="3"/>
        <v>0</v>
      </c>
      <c r="AC11" s="4">
        <f t="shared" si="4"/>
        <v>0</v>
      </c>
      <c r="AD11" s="4">
        <f t="shared" si="5"/>
        <v>1</v>
      </c>
      <c r="AE11" s="4">
        <f>transform!CN11</f>
        <v>2</v>
      </c>
      <c r="AF11" s="4">
        <f>transform!CO11</f>
        <v>0</v>
      </c>
      <c r="AG11" s="4">
        <f>transform!CP11</f>
        <v>2</v>
      </c>
      <c r="AH11" s="4">
        <f t="shared" si="6"/>
        <v>0</v>
      </c>
      <c r="AI11" s="4">
        <f t="shared" si="7"/>
        <v>0</v>
      </c>
      <c r="AJ11" s="4">
        <f t="shared" si="8"/>
        <v>1</v>
      </c>
      <c r="AK11" s="4">
        <f>transform!CQ11</f>
        <v>2</v>
      </c>
      <c r="AL11" s="4">
        <f t="shared" si="9"/>
        <v>1</v>
      </c>
      <c r="AM11" s="4">
        <f t="shared" si="10"/>
        <v>2</v>
      </c>
      <c r="AN11" s="4">
        <f t="shared" si="11"/>
        <v>1</v>
      </c>
      <c r="AO11" s="4">
        <f t="shared" si="12"/>
        <v>1</v>
      </c>
      <c r="AP11" s="4">
        <f t="shared" si="13"/>
        <v>1</v>
      </c>
      <c r="AQ11" s="4">
        <f t="shared" si="14"/>
        <v>2</v>
      </c>
      <c r="AR11" s="4">
        <f t="shared" si="15"/>
        <v>1</v>
      </c>
      <c r="AS11" s="4">
        <f t="shared" si="16"/>
        <v>1</v>
      </c>
      <c r="AT11" s="4">
        <f t="shared" si="17"/>
        <v>1</v>
      </c>
      <c r="AU11" s="4">
        <f t="shared" si="18"/>
        <v>2</v>
      </c>
      <c r="AV11" s="4">
        <f t="shared" si="19"/>
        <v>1</v>
      </c>
      <c r="AW11" s="4">
        <f t="shared" si="20"/>
        <v>1</v>
      </c>
      <c r="AX11" s="4">
        <f t="shared" si="21"/>
        <v>1</v>
      </c>
      <c r="AY11" s="4">
        <f t="shared" si="22"/>
        <v>2</v>
      </c>
      <c r="AZ11" s="4">
        <f t="shared" si="23"/>
        <v>1</v>
      </c>
      <c r="BA11" s="4">
        <f t="shared" si="24"/>
        <v>1</v>
      </c>
      <c r="BB11" s="4">
        <f t="shared" si="25"/>
        <v>1</v>
      </c>
      <c r="BC11" s="4">
        <f t="shared" si="26"/>
        <v>1</v>
      </c>
      <c r="BD11" s="4">
        <f t="shared" si="27"/>
        <v>1</v>
      </c>
      <c r="BE11" s="4">
        <f t="shared" si="28"/>
        <v>2</v>
      </c>
      <c r="BF11" s="4">
        <f t="shared" si="29"/>
        <v>1</v>
      </c>
      <c r="BG11" s="4">
        <f t="shared" si="30"/>
        <v>1</v>
      </c>
      <c r="BH11" s="4">
        <f t="shared" si="31"/>
        <v>1</v>
      </c>
      <c r="BI11" s="4">
        <f t="shared" si="32"/>
        <v>1</v>
      </c>
      <c r="BJ11" s="4">
        <f t="shared" si="33"/>
        <v>1</v>
      </c>
      <c r="BK11" s="4">
        <f t="shared" si="34"/>
        <v>2</v>
      </c>
      <c r="BL11" s="4">
        <f t="shared" si="35"/>
        <v>1</v>
      </c>
      <c r="BM11" s="4">
        <f t="shared" si="36"/>
        <v>1</v>
      </c>
      <c r="BN11" s="4">
        <f t="shared" si="37"/>
        <v>1</v>
      </c>
      <c r="BO11" s="4">
        <f t="shared" si="38"/>
        <v>1</v>
      </c>
    </row>
    <row r="12" spans="1:67">
      <c r="A12" s="4">
        <v>0</v>
      </c>
      <c r="B12" s="4">
        <f>transform!A12</f>
        <v>2</v>
      </c>
      <c r="C12" s="4">
        <f>transform!B12</f>
        <v>1</v>
      </c>
      <c r="D12" s="4">
        <f>transform!C12</f>
        <v>4</v>
      </c>
      <c r="E12" s="4">
        <f>transform!D12</f>
        <v>40876</v>
      </c>
      <c r="F12" s="4">
        <f>transform!E12</f>
        <v>1</v>
      </c>
      <c r="G12" s="4">
        <f>transform!F12</f>
        <v>1985</v>
      </c>
      <c r="H12" s="4">
        <f>transform!G12</f>
        <v>4</v>
      </c>
      <c r="I12" s="4">
        <f>transform!H12</f>
        <v>1</v>
      </c>
      <c r="J12" s="4">
        <f>COUNTIF(Raw!AR12:CA12,1)/(COUNTIF(Raw!AR12:CA12,1)+COUNTIF(Raw!AR12:CA12,0))</f>
        <v>0.25</v>
      </c>
      <c r="K12" s="15">
        <v>0.666666666666667</v>
      </c>
      <c r="L12" s="15">
        <v>0</v>
      </c>
      <c r="M12" s="15">
        <v>1</v>
      </c>
      <c r="N12" s="4">
        <f>transform!CC12</f>
        <v>2</v>
      </c>
      <c r="O12" s="4">
        <f>transform!CD12</f>
        <v>2</v>
      </c>
      <c r="P12" s="4">
        <f>transform!CE12</f>
        <v>2</v>
      </c>
      <c r="Q12" s="4">
        <f>transform!CF12</f>
        <v>1</v>
      </c>
      <c r="R12" s="4">
        <f>transform!CG12</f>
        <v>1</v>
      </c>
      <c r="S12" s="4">
        <f>transform!CH12</f>
        <v>2</v>
      </c>
      <c r="T12" s="4">
        <f>transform!CI12</f>
        <v>1</v>
      </c>
      <c r="U12" s="4">
        <f>transform!CJ12</f>
        <v>2</v>
      </c>
      <c r="V12" s="4">
        <f t="shared" si="0"/>
        <v>0</v>
      </c>
      <c r="W12" s="4">
        <f t="shared" si="1"/>
        <v>1</v>
      </c>
      <c r="X12" s="4">
        <f t="shared" si="2"/>
        <v>3</v>
      </c>
      <c r="Y12" s="4">
        <f>transform!CK12</f>
        <v>2</v>
      </c>
      <c r="Z12" s="4">
        <f>transform!CL12</f>
        <v>1</v>
      </c>
      <c r="AA12" s="4">
        <f>transform!CM12</f>
        <v>2</v>
      </c>
      <c r="AB12" s="4">
        <f t="shared" si="3"/>
        <v>0</v>
      </c>
      <c r="AC12" s="4">
        <f t="shared" si="4"/>
        <v>1</v>
      </c>
      <c r="AD12" s="4">
        <f t="shared" si="5"/>
        <v>3</v>
      </c>
      <c r="AE12" s="4">
        <f>transform!CN12</f>
        <v>2</v>
      </c>
      <c r="AF12" s="4">
        <f>transform!CO12</f>
        <v>1</v>
      </c>
      <c r="AG12" s="4">
        <f>transform!CP12</f>
        <v>1</v>
      </c>
      <c r="AH12" s="4">
        <f t="shared" si="6"/>
        <v>1</v>
      </c>
      <c r="AI12" s="4">
        <f t="shared" si="7"/>
        <v>0</v>
      </c>
      <c r="AJ12" s="4">
        <f t="shared" si="8"/>
        <v>2</v>
      </c>
      <c r="AK12" s="4">
        <f>transform!CQ12</f>
        <v>2</v>
      </c>
      <c r="AL12" s="4">
        <f t="shared" si="9"/>
        <v>1</v>
      </c>
      <c r="AM12" s="4">
        <f t="shared" si="10"/>
        <v>2</v>
      </c>
      <c r="AN12" s="4">
        <f t="shared" si="11"/>
        <v>1</v>
      </c>
      <c r="AO12" s="4">
        <f t="shared" si="12"/>
        <v>1</v>
      </c>
      <c r="AP12" s="4">
        <f t="shared" si="13"/>
        <v>1</v>
      </c>
      <c r="AQ12" s="4">
        <f t="shared" si="14"/>
        <v>1</v>
      </c>
      <c r="AR12" s="4">
        <f t="shared" si="15"/>
        <v>1</v>
      </c>
      <c r="AS12" s="4">
        <f t="shared" si="16"/>
        <v>2</v>
      </c>
      <c r="AT12" s="4">
        <f t="shared" si="17"/>
        <v>1</v>
      </c>
      <c r="AU12" s="4">
        <f t="shared" si="18"/>
        <v>1</v>
      </c>
      <c r="AV12" s="4">
        <f t="shared" si="19"/>
        <v>2</v>
      </c>
      <c r="AW12" s="4">
        <f t="shared" si="20"/>
        <v>1</v>
      </c>
      <c r="AX12" s="4">
        <f t="shared" si="21"/>
        <v>1</v>
      </c>
      <c r="AY12" s="4">
        <f t="shared" si="22"/>
        <v>1</v>
      </c>
      <c r="AZ12" s="4">
        <f t="shared" si="23"/>
        <v>1</v>
      </c>
      <c r="BA12" s="4">
        <f t="shared" si="24"/>
        <v>2</v>
      </c>
      <c r="BB12" s="4">
        <f t="shared" si="25"/>
        <v>1</v>
      </c>
      <c r="BC12" s="4">
        <f t="shared" si="26"/>
        <v>1</v>
      </c>
      <c r="BD12" s="4">
        <f t="shared" si="27"/>
        <v>1</v>
      </c>
      <c r="BE12" s="4">
        <f t="shared" si="28"/>
        <v>1</v>
      </c>
      <c r="BF12" s="4">
        <f t="shared" si="29"/>
        <v>1</v>
      </c>
      <c r="BG12" s="4">
        <f t="shared" si="30"/>
        <v>2</v>
      </c>
      <c r="BH12" s="4">
        <f t="shared" si="31"/>
        <v>1</v>
      </c>
      <c r="BI12" s="4">
        <f t="shared" si="32"/>
        <v>1</v>
      </c>
      <c r="BJ12" s="4">
        <f t="shared" si="33"/>
        <v>1</v>
      </c>
      <c r="BK12" s="4">
        <f t="shared" si="34"/>
        <v>1</v>
      </c>
      <c r="BL12" s="4">
        <f t="shared" si="35"/>
        <v>1</v>
      </c>
      <c r="BM12" s="4">
        <f t="shared" si="36"/>
        <v>1</v>
      </c>
      <c r="BN12" s="4">
        <f t="shared" si="37"/>
        <v>2</v>
      </c>
      <c r="BO12" s="4">
        <f t="shared" si="38"/>
        <v>1</v>
      </c>
    </row>
    <row r="13" spans="1:67">
      <c r="A13" s="4">
        <v>0</v>
      </c>
      <c r="B13" s="4">
        <f>transform!A14</f>
        <v>2</v>
      </c>
      <c r="C13" s="4">
        <f>transform!B14</f>
        <v>1</v>
      </c>
      <c r="D13" s="4">
        <f>transform!C14</f>
        <v>6</v>
      </c>
      <c r="E13" s="4">
        <f>transform!D14</f>
        <v>40883</v>
      </c>
      <c r="F13" s="4">
        <f>transform!E14</f>
        <v>1</v>
      </c>
      <c r="G13" s="4">
        <f>transform!F14</f>
        <v>1987</v>
      </c>
      <c r="H13" s="4">
        <f>transform!G14</f>
        <v>4</v>
      </c>
      <c r="I13" s="4">
        <f>transform!H14</f>
        <v>2</v>
      </c>
      <c r="J13" s="4">
        <f>COUNTIF(Raw!AR14:CA14,1)/(COUNTIF(Raw!AR14:CA14,1)+COUNTIF(Raw!AR14:CA14,0))</f>
        <v>0.466666666666667</v>
      </c>
      <c r="K13" s="15">
        <v>0</v>
      </c>
      <c r="L13" s="15">
        <v>0</v>
      </c>
      <c r="M13" s="15">
        <v>0</v>
      </c>
      <c r="N13" s="4">
        <f>transform!CC14</f>
        <v>1</v>
      </c>
      <c r="O13" s="4">
        <f>transform!CD14</f>
        <v>1</v>
      </c>
      <c r="P13" s="4">
        <f>transform!CE14</f>
        <v>1</v>
      </c>
      <c r="Q13" s="4">
        <f>transform!CF14</f>
        <v>1</v>
      </c>
      <c r="R13" s="4">
        <f>transform!CG14</f>
        <v>1</v>
      </c>
      <c r="S13" s="4">
        <f>transform!CH14</f>
        <v>1</v>
      </c>
      <c r="T13" s="4">
        <f>transform!CI14</f>
        <v>1</v>
      </c>
      <c r="U13" s="4">
        <f>transform!CJ14</f>
        <v>1</v>
      </c>
      <c r="V13" s="4">
        <f t="shared" si="0"/>
        <v>1</v>
      </c>
      <c r="W13" s="4">
        <f t="shared" si="1"/>
        <v>0</v>
      </c>
      <c r="X13" s="4">
        <f t="shared" si="2"/>
        <v>2</v>
      </c>
      <c r="Y13" s="4">
        <f>transform!CK14</f>
        <v>1</v>
      </c>
      <c r="Z13" s="4">
        <f>transform!CL14</f>
        <v>1</v>
      </c>
      <c r="AA13" s="4">
        <f>transform!CM14</f>
        <v>1</v>
      </c>
      <c r="AB13" s="4">
        <f t="shared" si="3"/>
        <v>1</v>
      </c>
      <c r="AC13" s="4">
        <f t="shared" si="4"/>
        <v>0</v>
      </c>
      <c r="AD13" s="4">
        <f t="shared" si="5"/>
        <v>2</v>
      </c>
      <c r="AE13" s="4">
        <f>transform!CN14</f>
        <v>1</v>
      </c>
      <c r="AF13" s="4">
        <f>transform!CO14</f>
        <v>1</v>
      </c>
      <c r="AG13" s="4">
        <f>transform!CP14</f>
        <v>1</v>
      </c>
      <c r="AH13" s="4">
        <f t="shared" si="6"/>
        <v>1</v>
      </c>
      <c r="AI13" s="4">
        <f t="shared" si="7"/>
        <v>0</v>
      </c>
      <c r="AJ13" s="4">
        <f t="shared" si="8"/>
        <v>2</v>
      </c>
      <c r="AK13" s="4">
        <f>transform!CQ14</f>
        <v>1</v>
      </c>
      <c r="AL13" s="4">
        <f t="shared" si="9"/>
        <v>2</v>
      </c>
      <c r="AM13" s="4">
        <f t="shared" si="10"/>
        <v>1</v>
      </c>
      <c r="AN13" s="4">
        <f t="shared" si="11"/>
        <v>1</v>
      </c>
      <c r="AO13" s="4">
        <f t="shared" si="12"/>
        <v>1</v>
      </c>
      <c r="AP13" s="4">
        <f t="shared" si="13"/>
        <v>2</v>
      </c>
      <c r="AQ13" s="4">
        <f t="shared" si="14"/>
        <v>1</v>
      </c>
      <c r="AR13" s="4">
        <f t="shared" si="15"/>
        <v>1</v>
      </c>
      <c r="AS13" s="4">
        <f t="shared" si="16"/>
        <v>1</v>
      </c>
      <c r="AT13" s="4">
        <f t="shared" si="17"/>
        <v>2</v>
      </c>
      <c r="AU13" s="4">
        <f t="shared" si="18"/>
        <v>1</v>
      </c>
      <c r="AV13" s="4">
        <f t="shared" si="19"/>
        <v>1</v>
      </c>
      <c r="AW13" s="4">
        <f t="shared" si="20"/>
        <v>1</v>
      </c>
      <c r="AX13" s="4">
        <f t="shared" si="21"/>
        <v>1</v>
      </c>
      <c r="AY13" s="4">
        <f t="shared" si="22"/>
        <v>1</v>
      </c>
      <c r="AZ13" s="4">
        <f t="shared" si="23"/>
        <v>2</v>
      </c>
      <c r="BA13" s="4">
        <f t="shared" si="24"/>
        <v>1</v>
      </c>
      <c r="BB13" s="4">
        <f t="shared" si="25"/>
        <v>1</v>
      </c>
      <c r="BC13" s="4">
        <f t="shared" si="26"/>
        <v>1</v>
      </c>
      <c r="BD13" s="4">
        <f t="shared" si="27"/>
        <v>1</v>
      </c>
      <c r="BE13" s="4">
        <f t="shared" si="28"/>
        <v>1</v>
      </c>
      <c r="BF13" s="4">
        <f t="shared" si="29"/>
        <v>2</v>
      </c>
      <c r="BG13" s="4">
        <f t="shared" si="30"/>
        <v>1</v>
      </c>
      <c r="BH13" s="4">
        <f t="shared" si="31"/>
        <v>1</v>
      </c>
      <c r="BI13" s="4">
        <f t="shared" si="32"/>
        <v>1</v>
      </c>
      <c r="BJ13" s="4">
        <f t="shared" si="33"/>
        <v>1</v>
      </c>
      <c r="BK13" s="4">
        <f t="shared" si="34"/>
        <v>1</v>
      </c>
      <c r="BL13" s="4">
        <f t="shared" si="35"/>
        <v>2</v>
      </c>
      <c r="BM13" s="4">
        <f t="shared" si="36"/>
        <v>1</v>
      </c>
      <c r="BN13" s="4">
        <f t="shared" si="37"/>
        <v>1</v>
      </c>
      <c r="BO13" s="4">
        <f t="shared" si="38"/>
        <v>1</v>
      </c>
    </row>
    <row r="14" spans="1:67">
      <c r="A14" s="4">
        <v>0</v>
      </c>
      <c r="B14" s="4">
        <f>transform!A15</f>
        <v>2</v>
      </c>
      <c r="C14" s="4">
        <f>transform!B15</f>
        <v>1</v>
      </c>
      <c r="D14" s="4">
        <f>transform!C15</f>
        <v>7</v>
      </c>
      <c r="E14" s="4">
        <f>transform!D15</f>
        <v>40876</v>
      </c>
      <c r="F14" s="4">
        <f>transform!E15</f>
        <v>1</v>
      </c>
      <c r="G14" s="4">
        <f>transform!F15</f>
        <v>1986</v>
      </c>
      <c r="H14" s="4">
        <f>transform!G15</f>
        <v>4</v>
      </c>
      <c r="I14" s="4">
        <f>transform!H15</f>
        <v>1</v>
      </c>
      <c r="J14" s="4">
        <f>COUNTIF(Raw!AR15:CA15,1)/(COUNTIF(Raw!AR15:CA15,1)+COUNTIF(Raw!AR15:CA15,0))</f>
        <v>1</v>
      </c>
      <c r="K14" s="15">
        <v>0</v>
      </c>
      <c r="L14" s="15">
        <v>1</v>
      </c>
      <c r="M14" s="15">
        <v>0</v>
      </c>
      <c r="N14" s="4">
        <f>transform!CC15</f>
        <v>2</v>
      </c>
      <c r="O14" s="4">
        <f>transform!CD15</f>
        <v>2</v>
      </c>
      <c r="P14" s="4">
        <f>transform!CE15</f>
        <v>1</v>
      </c>
      <c r="Q14" s="4">
        <f>transform!CF15</f>
        <v>2</v>
      </c>
      <c r="R14" s="4">
        <f>transform!CG15</f>
        <v>1</v>
      </c>
      <c r="S14" s="4">
        <f>transform!CH15</f>
        <v>2</v>
      </c>
      <c r="T14" s="4">
        <f>transform!CI15</f>
        <v>0</v>
      </c>
      <c r="U14" s="4">
        <f>transform!CJ15</f>
        <v>2</v>
      </c>
      <c r="V14" s="4">
        <f t="shared" si="0"/>
        <v>0</v>
      </c>
      <c r="W14" s="4">
        <f t="shared" si="1"/>
        <v>0</v>
      </c>
      <c r="X14" s="4">
        <f t="shared" si="2"/>
        <v>1</v>
      </c>
      <c r="Y14" s="4">
        <f>transform!CK15</f>
        <v>2</v>
      </c>
      <c r="Z14" s="4">
        <f>transform!CL15</f>
        <v>0</v>
      </c>
      <c r="AA14" s="4">
        <f>transform!CM15</f>
        <v>2</v>
      </c>
      <c r="AB14" s="4">
        <f t="shared" si="3"/>
        <v>0</v>
      </c>
      <c r="AC14" s="4">
        <f t="shared" si="4"/>
        <v>0</v>
      </c>
      <c r="AD14" s="4">
        <f t="shared" si="5"/>
        <v>1</v>
      </c>
      <c r="AE14" s="4">
        <f>transform!CN15</f>
        <v>2</v>
      </c>
      <c r="AF14" s="4">
        <f>transform!CO15</f>
        <v>0</v>
      </c>
      <c r="AG14" s="4">
        <f>transform!CP15</f>
        <v>2</v>
      </c>
      <c r="AH14" s="4">
        <f t="shared" si="6"/>
        <v>0</v>
      </c>
      <c r="AI14" s="4">
        <f t="shared" si="7"/>
        <v>0</v>
      </c>
      <c r="AJ14" s="4">
        <f t="shared" si="8"/>
        <v>1</v>
      </c>
      <c r="AK14" s="4">
        <f>transform!CQ15</f>
        <v>2</v>
      </c>
      <c r="AL14" s="4">
        <f t="shared" si="9"/>
        <v>1</v>
      </c>
      <c r="AM14" s="4">
        <f t="shared" si="10"/>
        <v>2</v>
      </c>
      <c r="AN14" s="4">
        <f t="shared" si="11"/>
        <v>1</v>
      </c>
      <c r="AO14" s="4">
        <f t="shared" si="12"/>
        <v>1</v>
      </c>
      <c r="AP14" s="4">
        <f t="shared" si="13"/>
        <v>1</v>
      </c>
      <c r="AQ14" s="4">
        <f t="shared" si="14"/>
        <v>1</v>
      </c>
      <c r="AR14" s="4">
        <f t="shared" si="15"/>
        <v>2</v>
      </c>
      <c r="AS14" s="4">
        <f t="shared" si="16"/>
        <v>1</v>
      </c>
      <c r="AT14" s="4">
        <f t="shared" si="17"/>
        <v>1</v>
      </c>
      <c r="AU14" s="4">
        <f t="shared" si="18"/>
        <v>1</v>
      </c>
      <c r="AV14" s="4">
        <f t="shared" si="19"/>
        <v>2</v>
      </c>
      <c r="AW14" s="4">
        <f t="shared" si="20"/>
        <v>1</v>
      </c>
      <c r="AX14" s="4">
        <f t="shared" si="21"/>
        <v>1</v>
      </c>
      <c r="AY14" s="4">
        <f t="shared" si="22"/>
        <v>2</v>
      </c>
      <c r="AZ14" s="4">
        <f t="shared" si="23"/>
        <v>1</v>
      </c>
      <c r="BA14" s="4">
        <f t="shared" si="24"/>
        <v>1</v>
      </c>
      <c r="BB14" s="4">
        <f t="shared" si="25"/>
        <v>1</v>
      </c>
      <c r="BC14" s="4">
        <f t="shared" si="26"/>
        <v>1</v>
      </c>
      <c r="BD14" s="4">
        <f t="shared" si="27"/>
        <v>1</v>
      </c>
      <c r="BE14" s="4">
        <f t="shared" si="28"/>
        <v>2</v>
      </c>
      <c r="BF14" s="4">
        <f t="shared" si="29"/>
        <v>1</v>
      </c>
      <c r="BG14" s="4">
        <f t="shared" si="30"/>
        <v>1</v>
      </c>
      <c r="BH14" s="4">
        <f t="shared" si="31"/>
        <v>1</v>
      </c>
      <c r="BI14" s="4">
        <f t="shared" si="32"/>
        <v>1</v>
      </c>
      <c r="BJ14" s="4">
        <f t="shared" si="33"/>
        <v>1</v>
      </c>
      <c r="BK14" s="4">
        <f t="shared" si="34"/>
        <v>2</v>
      </c>
      <c r="BL14" s="4">
        <f t="shared" si="35"/>
        <v>1</v>
      </c>
      <c r="BM14" s="4">
        <f t="shared" si="36"/>
        <v>1</v>
      </c>
      <c r="BN14" s="4">
        <f t="shared" si="37"/>
        <v>1</v>
      </c>
      <c r="BO14" s="4">
        <f t="shared" si="38"/>
        <v>1</v>
      </c>
    </row>
    <row r="15" spans="1:67">
      <c r="A15" s="4">
        <v>0</v>
      </c>
      <c r="B15" s="4">
        <f>transform!A16</f>
        <v>2</v>
      </c>
      <c r="C15" s="4">
        <f>transform!B16</f>
        <v>1</v>
      </c>
      <c r="D15" s="4">
        <f>transform!C16</f>
        <v>8</v>
      </c>
      <c r="E15" s="4">
        <f>transform!D16</f>
        <v>40876</v>
      </c>
      <c r="F15" s="4">
        <f>transform!E16</f>
        <v>1</v>
      </c>
      <c r="G15" s="4">
        <f>transform!F16</f>
        <v>1986</v>
      </c>
      <c r="H15" s="4">
        <f>transform!G16</f>
        <v>6</v>
      </c>
      <c r="I15" s="4">
        <f>transform!H16</f>
        <v>1</v>
      </c>
      <c r="J15" s="4">
        <f>COUNTIF(Raw!AR16:CA16,1)/(COUNTIF(Raw!AR16:CA16,1)+COUNTIF(Raw!AR16:CA16,0))</f>
        <v>0.80952380952381</v>
      </c>
      <c r="K15" s="15">
        <v>0.714285714285714</v>
      </c>
      <c r="L15" s="15">
        <v>1</v>
      </c>
      <c r="M15" s="15">
        <v>1</v>
      </c>
      <c r="N15" s="4">
        <f>transform!CC16</f>
        <v>2</v>
      </c>
      <c r="O15" s="4">
        <f>transform!CD16</f>
        <v>1</v>
      </c>
      <c r="P15" s="4">
        <f>transform!CE16</f>
        <v>2</v>
      </c>
      <c r="Q15" s="4">
        <f>transform!CF16</f>
        <v>1</v>
      </c>
      <c r="R15" s="4">
        <f>transform!CG16</f>
        <v>2</v>
      </c>
      <c r="S15" s="4">
        <f>transform!CH16</f>
        <v>1</v>
      </c>
      <c r="T15" s="4">
        <f>transform!CI16</f>
        <v>0</v>
      </c>
      <c r="U15" s="4">
        <f>transform!CJ16</f>
        <v>2</v>
      </c>
      <c r="V15" s="4">
        <f t="shared" si="0"/>
        <v>0</v>
      </c>
      <c r="W15" s="4">
        <f t="shared" si="1"/>
        <v>0</v>
      </c>
      <c r="X15" s="4">
        <f t="shared" si="2"/>
        <v>1</v>
      </c>
      <c r="Y15" s="4">
        <f>transform!CK16</f>
        <v>1</v>
      </c>
      <c r="Z15" s="4">
        <f>transform!CL16</f>
        <v>0</v>
      </c>
      <c r="AA15" s="4">
        <f>transform!CM16</f>
        <v>2</v>
      </c>
      <c r="AB15" s="4">
        <f t="shared" si="3"/>
        <v>0</v>
      </c>
      <c r="AC15" s="4">
        <f t="shared" si="4"/>
        <v>0</v>
      </c>
      <c r="AD15" s="4">
        <f t="shared" si="5"/>
        <v>1</v>
      </c>
      <c r="AE15" s="4">
        <f>transform!CN16</f>
        <v>1</v>
      </c>
      <c r="AF15" s="4">
        <f>transform!CO16</f>
        <v>0</v>
      </c>
      <c r="AG15" s="4">
        <f>transform!CP16</f>
        <v>2</v>
      </c>
      <c r="AH15" s="4">
        <f t="shared" si="6"/>
        <v>0</v>
      </c>
      <c r="AI15" s="4">
        <f t="shared" si="7"/>
        <v>0</v>
      </c>
      <c r="AJ15" s="4">
        <f t="shared" si="8"/>
        <v>1</v>
      </c>
      <c r="AK15" s="4">
        <f>transform!CQ16</f>
        <v>1</v>
      </c>
      <c r="AL15" s="4">
        <f t="shared" si="9"/>
        <v>1</v>
      </c>
      <c r="AM15" s="4">
        <f t="shared" si="10"/>
        <v>1</v>
      </c>
      <c r="AN15" s="4">
        <f t="shared" si="11"/>
        <v>1</v>
      </c>
      <c r="AO15" s="4">
        <f t="shared" si="12"/>
        <v>2</v>
      </c>
      <c r="AP15" s="4">
        <f t="shared" si="13"/>
        <v>1</v>
      </c>
      <c r="AQ15" s="4">
        <f t="shared" si="14"/>
        <v>1</v>
      </c>
      <c r="AR15" s="4">
        <f t="shared" si="15"/>
        <v>1</v>
      </c>
      <c r="AS15" s="4">
        <f t="shared" si="16"/>
        <v>2</v>
      </c>
      <c r="AT15" s="4">
        <f t="shared" si="17"/>
        <v>1</v>
      </c>
      <c r="AU15" s="4">
        <f t="shared" si="18"/>
        <v>1</v>
      </c>
      <c r="AV15" s="4">
        <f t="shared" si="19"/>
        <v>1</v>
      </c>
      <c r="AW15" s="4">
        <f t="shared" si="20"/>
        <v>2</v>
      </c>
      <c r="AX15" s="4">
        <f t="shared" si="21"/>
        <v>2</v>
      </c>
      <c r="AY15" s="4">
        <f t="shared" si="22"/>
        <v>1</v>
      </c>
      <c r="AZ15" s="4">
        <f t="shared" si="23"/>
        <v>1</v>
      </c>
      <c r="BA15" s="4">
        <f t="shared" si="24"/>
        <v>1</v>
      </c>
      <c r="BB15" s="4">
        <f t="shared" si="25"/>
        <v>1</v>
      </c>
      <c r="BC15" s="4">
        <f t="shared" si="26"/>
        <v>1</v>
      </c>
      <c r="BD15" s="4">
        <f t="shared" si="27"/>
        <v>2</v>
      </c>
      <c r="BE15" s="4">
        <f t="shared" si="28"/>
        <v>1</v>
      </c>
      <c r="BF15" s="4">
        <f t="shared" si="29"/>
        <v>1</v>
      </c>
      <c r="BG15" s="4">
        <f t="shared" si="30"/>
        <v>1</v>
      </c>
      <c r="BH15" s="4">
        <f t="shared" si="31"/>
        <v>1</v>
      </c>
      <c r="BI15" s="4">
        <f t="shared" si="32"/>
        <v>1</v>
      </c>
      <c r="BJ15" s="4">
        <f t="shared" si="33"/>
        <v>2</v>
      </c>
      <c r="BK15" s="4">
        <f t="shared" si="34"/>
        <v>1</v>
      </c>
      <c r="BL15" s="4">
        <f t="shared" si="35"/>
        <v>1</v>
      </c>
      <c r="BM15" s="4">
        <f t="shared" si="36"/>
        <v>1</v>
      </c>
      <c r="BN15" s="4">
        <f t="shared" si="37"/>
        <v>1</v>
      </c>
      <c r="BO15" s="4">
        <f t="shared" si="38"/>
        <v>1</v>
      </c>
    </row>
    <row r="16" spans="1:67">
      <c r="A16" s="4">
        <v>0</v>
      </c>
      <c r="B16" s="4">
        <f>transform!A17</f>
        <v>3</v>
      </c>
      <c r="C16" s="4">
        <f>transform!B17</f>
        <v>1</v>
      </c>
      <c r="D16" s="4">
        <f>transform!C17</f>
        <v>1</v>
      </c>
      <c r="E16" s="4">
        <f>transform!D17</f>
        <v>40876</v>
      </c>
      <c r="F16" s="4">
        <f>transform!E17</f>
        <v>2</v>
      </c>
      <c r="G16" s="4">
        <f>transform!F17</f>
        <v>1988</v>
      </c>
      <c r="H16" s="4">
        <f>transform!G17</f>
        <v>3</v>
      </c>
      <c r="I16" s="8">
        <f>transform!H17</f>
        <v>1</v>
      </c>
      <c r="J16" s="4">
        <f>COUNTIF(Raw!AR17:CA17,1)/(COUNTIF(Raw!AR17:CA17,1)+COUNTIF(Raw!AR17:CA17,0))</f>
        <v>0.285714285714286</v>
      </c>
      <c r="K16" s="15">
        <v>0.142857142857143</v>
      </c>
      <c r="L16" s="15">
        <v>0</v>
      </c>
      <c r="M16" s="15">
        <v>0</v>
      </c>
      <c r="N16" s="4">
        <f>transform!CC17</f>
        <v>1</v>
      </c>
      <c r="O16" s="4">
        <f>transform!CD17</f>
        <v>2</v>
      </c>
      <c r="P16" s="4">
        <f>transform!CE17</f>
        <v>2</v>
      </c>
      <c r="Q16" s="4">
        <f>transform!CF17</f>
        <v>2</v>
      </c>
      <c r="R16" s="4">
        <f>transform!CG17</f>
        <v>2</v>
      </c>
      <c r="S16" s="4">
        <f>transform!CH17</f>
        <v>2</v>
      </c>
      <c r="T16" s="4">
        <f>transform!CI17</f>
        <v>0</v>
      </c>
      <c r="U16" s="4">
        <f>transform!CJ17</f>
        <v>2</v>
      </c>
      <c r="V16" s="4">
        <f t="shared" si="0"/>
        <v>0</v>
      </c>
      <c r="W16" s="4">
        <f t="shared" si="1"/>
        <v>0</v>
      </c>
      <c r="X16" s="4">
        <f t="shared" si="2"/>
        <v>1</v>
      </c>
      <c r="Y16" s="4">
        <f>transform!CK17</f>
        <v>2</v>
      </c>
      <c r="Z16" s="4">
        <f>transform!CL17</f>
        <v>0</v>
      </c>
      <c r="AA16" s="4">
        <f>transform!CM17</f>
        <v>2</v>
      </c>
      <c r="AB16" s="4">
        <f t="shared" si="3"/>
        <v>0</v>
      </c>
      <c r="AC16" s="4">
        <f t="shared" si="4"/>
        <v>0</v>
      </c>
      <c r="AD16" s="4">
        <f t="shared" si="5"/>
        <v>1</v>
      </c>
      <c r="AE16" s="4">
        <f>transform!CN17</f>
        <v>2</v>
      </c>
      <c r="AF16" s="4">
        <f>transform!CO17</f>
        <v>1</v>
      </c>
      <c r="AG16" s="4">
        <f>transform!CP17</f>
        <v>1</v>
      </c>
      <c r="AH16" s="4">
        <f t="shared" si="6"/>
        <v>1</v>
      </c>
      <c r="AI16" s="4">
        <f t="shared" si="7"/>
        <v>0</v>
      </c>
      <c r="AJ16" s="4">
        <f t="shared" si="8"/>
        <v>2</v>
      </c>
      <c r="AK16" s="4">
        <f>transform!CQ17</f>
        <v>1</v>
      </c>
      <c r="AL16" s="4">
        <f t="shared" si="9"/>
        <v>1</v>
      </c>
      <c r="AM16" s="4">
        <f t="shared" si="10"/>
        <v>1</v>
      </c>
      <c r="AN16" s="4">
        <f t="shared" si="11"/>
        <v>2</v>
      </c>
      <c r="AO16" s="4">
        <f t="shared" si="12"/>
        <v>1</v>
      </c>
      <c r="AP16" s="4">
        <f t="shared" si="13"/>
        <v>1</v>
      </c>
      <c r="AQ16" s="4">
        <f t="shared" si="14"/>
        <v>2</v>
      </c>
      <c r="AR16" s="4">
        <f t="shared" si="15"/>
        <v>1</v>
      </c>
      <c r="AS16" s="4">
        <f t="shared" si="16"/>
        <v>1</v>
      </c>
      <c r="AT16" s="4">
        <f t="shared" si="17"/>
        <v>1</v>
      </c>
      <c r="AU16" s="4">
        <f t="shared" si="18"/>
        <v>2</v>
      </c>
      <c r="AV16" s="4">
        <f t="shared" si="19"/>
        <v>1</v>
      </c>
      <c r="AW16" s="4">
        <f t="shared" si="20"/>
        <v>1</v>
      </c>
      <c r="AX16" s="4">
        <f t="shared" si="21"/>
        <v>1</v>
      </c>
      <c r="AY16" s="4">
        <f t="shared" si="22"/>
        <v>2</v>
      </c>
      <c r="AZ16" s="4">
        <f t="shared" si="23"/>
        <v>1</v>
      </c>
      <c r="BA16" s="4">
        <f t="shared" si="24"/>
        <v>1</v>
      </c>
      <c r="BB16" s="4">
        <f t="shared" si="25"/>
        <v>1</v>
      </c>
      <c r="BC16" s="4">
        <f t="shared" si="26"/>
        <v>1</v>
      </c>
      <c r="BD16" s="4">
        <f t="shared" si="27"/>
        <v>1</v>
      </c>
      <c r="BE16" s="4">
        <f t="shared" si="28"/>
        <v>2</v>
      </c>
      <c r="BF16" s="4">
        <f t="shared" si="29"/>
        <v>1</v>
      </c>
      <c r="BG16" s="4">
        <f t="shared" si="30"/>
        <v>1</v>
      </c>
      <c r="BH16" s="4">
        <f t="shared" si="31"/>
        <v>1</v>
      </c>
      <c r="BI16" s="4">
        <f t="shared" si="32"/>
        <v>1</v>
      </c>
      <c r="BJ16" s="4">
        <f t="shared" si="33"/>
        <v>1</v>
      </c>
      <c r="BK16" s="4">
        <f t="shared" si="34"/>
        <v>1</v>
      </c>
      <c r="BL16" s="4">
        <f t="shared" si="35"/>
        <v>2</v>
      </c>
      <c r="BM16" s="4">
        <f t="shared" si="36"/>
        <v>1</v>
      </c>
      <c r="BN16" s="4">
        <f t="shared" si="37"/>
        <v>1</v>
      </c>
      <c r="BO16" s="4">
        <f t="shared" si="38"/>
        <v>1</v>
      </c>
    </row>
    <row r="17" spans="1:67">
      <c r="A17" s="4">
        <v>0</v>
      </c>
      <c r="B17" s="4">
        <f>transform!A18</f>
        <v>3</v>
      </c>
      <c r="C17" s="4">
        <f>transform!B18</f>
        <v>1</v>
      </c>
      <c r="D17" s="4">
        <f>transform!C18</f>
        <v>2</v>
      </c>
      <c r="E17" s="4">
        <f>transform!D18</f>
        <v>40876</v>
      </c>
      <c r="F17" s="4">
        <f>transform!E18</f>
        <v>2</v>
      </c>
      <c r="G17" s="4">
        <f>transform!F18</f>
        <v>1989</v>
      </c>
      <c r="H17" s="4">
        <f>transform!G18</f>
        <v>3</v>
      </c>
      <c r="I17" s="4">
        <f>transform!H18</f>
        <v>1</v>
      </c>
      <c r="J17" s="4">
        <f>COUNTIF(Raw!AR18:CA18,1)/(COUNTIF(Raw!AR18:CA18,1)+COUNTIF(Raw!AR18:CA18,0))</f>
        <v>0.619047619047619</v>
      </c>
      <c r="K17" s="15">
        <v>0.142857142857143</v>
      </c>
      <c r="L17" s="15">
        <v>1</v>
      </c>
      <c r="M17" s="15">
        <v>0</v>
      </c>
      <c r="N17" s="4">
        <f>transform!CC18</f>
        <v>1</v>
      </c>
      <c r="O17" s="4">
        <f>transform!CD18</f>
        <v>2</v>
      </c>
      <c r="P17" s="4">
        <f>transform!CE18</f>
        <v>1</v>
      </c>
      <c r="Q17" s="4">
        <f>transform!CF18</f>
        <v>2</v>
      </c>
      <c r="R17" s="4">
        <f>transform!CG18</f>
        <v>1</v>
      </c>
      <c r="S17" s="4">
        <f>transform!CH18</f>
        <v>2</v>
      </c>
      <c r="T17" s="4">
        <f>transform!CI18</f>
        <v>1</v>
      </c>
      <c r="U17" s="4">
        <f>transform!CJ18</f>
        <v>2</v>
      </c>
      <c r="V17" s="4">
        <f t="shared" si="0"/>
        <v>0</v>
      </c>
      <c r="W17" s="4">
        <f t="shared" si="1"/>
        <v>1</v>
      </c>
      <c r="X17" s="4">
        <f t="shared" si="2"/>
        <v>3</v>
      </c>
      <c r="Y17" s="4">
        <f>transform!CK18</f>
        <v>2</v>
      </c>
      <c r="Z17" s="4">
        <f>transform!CL18</f>
        <v>1</v>
      </c>
      <c r="AA17" s="4">
        <f>transform!CM18</f>
        <v>1</v>
      </c>
      <c r="AB17" s="4">
        <f t="shared" si="3"/>
        <v>1</v>
      </c>
      <c r="AC17" s="4">
        <f t="shared" si="4"/>
        <v>0</v>
      </c>
      <c r="AD17" s="4">
        <f t="shared" si="5"/>
        <v>2</v>
      </c>
      <c r="AE17" s="4">
        <f>transform!CN18</f>
        <v>1</v>
      </c>
      <c r="AF17" s="4">
        <f>transform!CO18</f>
        <v>0</v>
      </c>
      <c r="AG17" s="4">
        <f>transform!CP18</f>
        <v>2</v>
      </c>
      <c r="AH17" s="4">
        <f t="shared" si="6"/>
        <v>0</v>
      </c>
      <c r="AI17" s="4">
        <f t="shared" si="7"/>
        <v>0</v>
      </c>
      <c r="AJ17" s="4">
        <f t="shared" si="8"/>
        <v>1</v>
      </c>
      <c r="AK17" s="4">
        <f>transform!CQ18</f>
        <v>1</v>
      </c>
      <c r="AL17" s="4">
        <f t="shared" si="9"/>
        <v>1</v>
      </c>
      <c r="AM17" s="4">
        <f t="shared" si="10"/>
        <v>1</v>
      </c>
      <c r="AN17" s="4">
        <f t="shared" si="11"/>
        <v>2</v>
      </c>
      <c r="AO17" s="4">
        <f t="shared" si="12"/>
        <v>1</v>
      </c>
      <c r="AP17" s="4">
        <f t="shared" si="13"/>
        <v>1</v>
      </c>
      <c r="AQ17" s="4">
        <f t="shared" si="14"/>
        <v>1</v>
      </c>
      <c r="AR17" s="4">
        <f t="shared" si="15"/>
        <v>2</v>
      </c>
      <c r="AS17" s="4">
        <f t="shared" si="16"/>
        <v>1</v>
      </c>
      <c r="AT17" s="4">
        <f t="shared" si="17"/>
        <v>1</v>
      </c>
      <c r="AU17" s="4">
        <f t="shared" si="18"/>
        <v>1</v>
      </c>
      <c r="AV17" s="4">
        <f t="shared" si="19"/>
        <v>2</v>
      </c>
      <c r="AW17" s="4">
        <f t="shared" si="20"/>
        <v>1</v>
      </c>
      <c r="AX17" s="4">
        <f t="shared" si="21"/>
        <v>1</v>
      </c>
      <c r="AY17" s="4">
        <f t="shared" si="22"/>
        <v>1</v>
      </c>
      <c r="AZ17" s="4">
        <f t="shared" si="23"/>
        <v>1</v>
      </c>
      <c r="BA17" s="4">
        <f t="shared" si="24"/>
        <v>2</v>
      </c>
      <c r="BB17" s="4">
        <f t="shared" si="25"/>
        <v>1</v>
      </c>
      <c r="BC17" s="4">
        <f t="shared" si="26"/>
        <v>1</v>
      </c>
      <c r="BD17" s="4">
        <f t="shared" si="27"/>
        <v>1</v>
      </c>
      <c r="BE17" s="4">
        <f t="shared" si="28"/>
        <v>1</v>
      </c>
      <c r="BF17" s="4">
        <f t="shared" si="29"/>
        <v>2</v>
      </c>
      <c r="BG17" s="4">
        <f t="shared" si="30"/>
        <v>1</v>
      </c>
      <c r="BH17" s="4">
        <f t="shared" si="31"/>
        <v>1</v>
      </c>
      <c r="BI17" s="4">
        <f t="shared" si="32"/>
        <v>1</v>
      </c>
      <c r="BJ17" s="4">
        <f t="shared" si="33"/>
        <v>2</v>
      </c>
      <c r="BK17" s="4">
        <f t="shared" si="34"/>
        <v>1</v>
      </c>
      <c r="BL17" s="4">
        <f t="shared" si="35"/>
        <v>1</v>
      </c>
      <c r="BM17" s="4">
        <f t="shared" si="36"/>
        <v>1</v>
      </c>
      <c r="BN17" s="4">
        <f t="shared" si="37"/>
        <v>1</v>
      </c>
      <c r="BO17" s="4">
        <f t="shared" si="38"/>
        <v>1</v>
      </c>
    </row>
    <row r="18" spans="1:67">
      <c r="A18" s="4">
        <v>0</v>
      </c>
      <c r="B18" s="4">
        <f>transform!A19</f>
        <v>3</v>
      </c>
      <c r="C18" s="4">
        <f>transform!B19</f>
        <v>1</v>
      </c>
      <c r="D18" s="4">
        <f>transform!C19</f>
        <v>3</v>
      </c>
      <c r="E18" s="4">
        <f>transform!D19</f>
        <v>40876</v>
      </c>
      <c r="F18" s="4">
        <f>transform!E19</f>
        <v>2</v>
      </c>
      <c r="G18" s="4">
        <f>transform!F19</f>
        <v>1990</v>
      </c>
      <c r="H18" s="4">
        <f>transform!G19</f>
        <v>3</v>
      </c>
      <c r="I18" s="4">
        <f>transform!H19</f>
        <v>1</v>
      </c>
      <c r="J18" s="4">
        <f>COUNTIF(Raw!AR19:CA19,1)/(COUNTIF(Raw!AR19:CA19,1)+COUNTIF(Raw!AR19:CA19,0))</f>
        <v>0.285714285714286</v>
      </c>
      <c r="K18" s="15">
        <v>0.285714285714286</v>
      </c>
      <c r="L18" s="15">
        <v>0</v>
      </c>
      <c r="M18" s="15">
        <v>1</v>
      </c>
      <c r="N18" s="4">
        <f>transform!CC19</f>
        <v>2</v>
      </c>
      <c r="O18" s="4">
        <f>transform!CD19</f>
        <v>2</v>
      </c>
      <c r="P18" s="4">
        <f>transform!CE19</f>
        <v>1</v>
      </c>
      <c r="Q18" s="4">
        <f>transform!CF19</f>
        <v>2</v>
      </c>
      <c r="R18" s="4">
        <f>transform!CG19</f>
        <v>1</v>
      </c>
      <c r="S18" s="4">
        <f>transform!CH19</f>
        <v>2</v>
      </c>
      <c r="T18" s="4">
        <f>transform!CI19</f>
        <v>1</v>
      </c>
      <c r="U18" s="4">
        <f>transform!CJ19</f>
        <v>1</v>
      </c>
      <c r="V18" s="4">
        <f t="shared" si="0"/>
        <v>1</v>
      </c>
      <c r="W18" s="4">
        <f t="shared" si="1"/>
        <v>0</v>
      </c>
      <c r="X18" s="4">
        <f t="shared" si="2"/>
        <v>2</v>
      </c>
      <c r="Y18" s="4">
        <f>transform!CK19</f>
        <v>1</v>
      </c>
      <c r="Z18" s="4">
        <f>transform!CL19</f>
        <v>1</v>
      </c>
      <c r="AA18" s="4">
        <f>transform!CM19</f>
        <v>2</v>
      </c>
      <c r="AB18" s="4">
        <f t="shared" si="3"/>
        <v>0</v>
      </c>
      <c r="AC18" s="4">
        <f t="shared" si="4"/>
        <v>1</v>
      </c>
      <c r="AD18" s="4">
        <f t="shared" si="5"/>
        <v>3</v>
      </c>
      <c r="AE18" s="4">
        <f>transform!CN19</f>
        <v>2</v>
      </c>
      <c r="AF18" s="4">
        <f>transform!CO19</f>
        <v>0</v>
      </c>
      <c r="AG18" s="4">
        <f>transform!CP19</f>
        <v>1</v>
      </c>
      <c r="AH18" s="4">
        <f t="shared" si="6"/>
        <v>0</v>
      </c>
      <c r="AI18" s="4">
        <f t="shared" si="7"/>
        <v>0</v>
      </c>
      <c r="AJ18" s="4">
        <f t="shared" si="8"/>
        <v>1</v>
      </c>
      <c r="AK18" s="4">
        <f>transform!CQ19</f>
        <v>2</v>
      </c>
      <c r="AL18" s="4">
        <f t="shared" si="9"/>
        <v>1</v>
      </c>
      <c r="AM18" s="4">
        <f t="shared" si="10"/>
        <v>2</v>
      </c>
      <c r="AN18" s="4">
        <f t="shared" si="11"/>
        <v>1</v>
      </c>
      <c r="AO18" s="4">
        <f t="shared" si="12"/>
        <v>1</v>
      </c>
      <c r="AP18" s="4">
        <f t="shared" si="13"/>
        <v>1</v>
      </c>
      <c r="AQ18" s="4">
        <f t="shared" si="14"/>
        <v>1</v>
      </c>
      <c r="AR18" s="4">
        <f t="shared" si="15"/>
        <v>2</v>
      </c>
      <c r="AS18" s="4">
        <f t="shared" si="16"/>
        <v>1</v>
      </c>
      <c r="AT18" s="4">
        <f t="shared" si="17"/>
        <v>1</v>
      </c>
      <c r="AU18" s="4">
        <f t="shared" si="18"/>
        <v>1</v>
      </c>
      <c r="AV18" s="4">
        <f t="shared" si="19"/>
        <v>2</v>
      </c>
      <c r="AW18" s="4">
        <f t="shared" si="20"/>
        <v>1</v>
      </c>
      <c r="AX18" s="4">
        <f t="shared" si="21"/>
        <v>1</v>
      </c>
      <c r="AY18" s="4">
        <f t="shared" si="22"/>
        <v>1</v>
      </c>
      <c r="AZ18" s="4">
        <f t="shared" si="23"/>
        <v>2</v>
      </c>
      <c r="BA18" s="4">
        <f t="shared" si="24"/>
        <v>1</v>
      </c>
      <c r="BB18" s="4">
        <f t="shared" si="25"/>
        <v>1</v>
      </c>
      <c r="BC18" s="4">
        <f t="shared" si="26"/>
        <v>1</v>
      </c>
      <c r="BD18" s="4">
        <f t="shared" si="27"/>
        <v>1</v>
      </c>
      <c r="BE18" s="4">
        <f t="shared" si="28"/>
        <v>1</v>
      </c>
      <c r="BF18" s="4">
        <f t="shared" si="29"/>
        <v>1</v>
      </c>
      <c r="BG18" s="4">
        <f t="shared" si="30"/>
        <v>2</v>
      </c>
      <c r="BH18" s="4">
        <f t="shared" si="31"/>
        <v>1</v>
      </c>
      <c r="BI18" s="4">
        <f t="shared" si="32"/>
        <v>1</v>
      </c>
      <c r="BJ18" s="4">
        <f t="shared" si="33"/>
        <v>1</v>
      </c>
      <c r="BK18" s="4">
        <f t="shared" si="34"/>
        <v>2</v>
      </c>
      <c r="BL18" s="4">
        <f t="shared" si="35"/>
        <v>1</v>
      </c>
      <c r="BM18" s="4">
        <f t="shared" si="36"/>
        <v>1</v>
      </c>
      <c r="BN18" s="4">
        <f t="shared" si="37"/>
        <v>1</v>
      </c>
      <c r="BO18" s="4">
        <f t="shared" si="38"/>
        <v>1</v>
      </c>
    </row>
    <row r="19" spans="1:67">
      <c r="A19" s="4">
        <v>0</v>
      </c>
      <c r="B19" s="4">
        <f>transform!A20</f>
        <v>3</v>
      </c>
      <c r="C19" s="4">
        <f>transform!B20</f>
        <v>1</v>
      </c>
      <c r="D19" s="4">
        <f>transform!C20</f>
        <v>4</v>
      </c>
      <c r="E19" s="4">
        <f>transform!D20</f>
        <v>40876</v>
      </c>
      <c r="F19" s="4">
        <f>transform!E20</f>
        <v>2</v>
      </c>
      <c r="G19" s="4">
        <f>transform!F20</f>
        <v>1990</v>
      </c>
      <c r="H19" s="4">
        <f>transform!G20</f>
        <v>3</v>
      </c>
      <c r="I19" s="4">
        <f>transform!H20</f>
        <v>1</v>
      </c>
      <c r="J19" s="4">
        <f>COUNTIF(Raw!AR20:CA20,1)/(COUNTIF(Raw!AR20:CA20,1)+COUNTIF(Raw!AR20:CA20,0))</f>
        <v>0.142857142857143</v>
      </c>
      <c r="K19" s="15">
        <v>0.142857142857143</v>
      </c>
      <c r="L19" s="15">
        <v>0</v>
      </c>
      <c r="M19" s="15">
        <v>0</v>
      </c>
      <c r="N19" s="4">
        <f>transform!CC20</f>
        <v>2</v>
      </c>
      <c r="O19" s="4">
        <f>transform!CD20</f>
        <v>1</v>
      </c>
      <c r="P19" s="4">
        <f>transform!CE20</f>
        <v>2</v>
      </c>
      <c r="Q19" s="4">
        <f>transform!CF20</f>
        <v>2</v>
      </c>
      <c r="R19" s="4">
        <f>transform!CG20</f>
        <v>1</v>
      </c>
      <c r="S19" s="4">
        <f>transform!CH20</f>
        <v>2</v>
      </c>
      <c r="T19" s="4">
        <f>transform!CI20</f>
        <v>1</v>
      </c>
      <c r="U19" s="4">
        <f>transform!CJ20</f>
        <v>1</v>
      </c>
      <c r="V19" s="4">
        <f t="shared" si="0"/>
        <v>1</v>
      </c>
      <c r="W19" s="4">
        <f t="shared" si="1"/>
        <v>0</v>
      </c>
      <c r="X19" s="4">
        <f t="shared" si="2"/>
        <v>2</v>
      </c>
      <c r="Y19" s="4">
        <f>transform!CK20</f>
        <v>1</v>
      </c>
      <c r="Z19" s="4">
        <f>transform!CL20</f>
        <v>1</v>
      </c>
      <c r="AA19" s="4">
        <f>transform!CM20</f>
        <v>2</v>
      </c>
      <c r="AB19" s="4">
        <f t="shared" si="3"/>
        <v>0</v>
      </c>
      <c r="AC19" s="4">
        <f t="shared" si="4"/>
        <v>1</v>
      </c>
      <c r="AD19" s="4">
        <f t="shared" si="5"/>
        <v>3</v>
      </c>
      <c r="AE19" s="4">
        <f>transform!CN20</f>
        <v>1</v>
      </c>
      <c r="AF19" s="4">
        <f>transform!CO20</f>
        <v>1</v>
      </c>
      <c r="AG19" s="4">
        <f>transform!CP20</f>
        <v>2</v>
      </c>
      <c r="AH19" s="4">
        <f t="shared" si="6"/>
        <v>0</v>
      </c>
      <c r="AI19" s="4">
        <f t="shared" si="7"/>
        <v>1</v>
      </c>
      <c r="AJ19" s="4">
        <f t="shared" si="8"/>
        <v>3</v>
      </c>
      <c r="AK19" s="4">
        <f>transform!CQ20</f>
        <v>2</v>
      </c>
      <c r="AL19" s="4">
        <f t="shared" si="9"/>
        <v>1</v>
      </c>
      <c r="AM19" s="4">
        <f t="shared" si="10"/>
        <v>1</v>
      </c>
      <c r="AN19" s="4">
        <f t="shared" si="11"/>
        <v>1</v>
      </c>
      <c r="AO19" s="4">
        <f t="shared" si="12"/>
        <v>2</v>
      </c>
      <c r="AP19" s="4">
        <f t="shared" si="13"/>
        <v>1</v>
      </c>
      <c r="AQ19" s="4">
        <f t="shared" si="14"/>
        <v>2</v>
      </c>
      <c r="AR19" s="4">
        <f t="shared" si="15"/>
        <v>1</v>
      </c>
      <c r="AS19" s="4">
        <f t="shared" si="16"/>
        <v>1</v>
      </c>
      <c r="AT19" s="4">
        <f t="shared" si="17"/>
        <v>1</v>
      </c>
      <c r="AU19" s="4">
        <f t="shared" si="18"/>
        <v>1</v>
      </c>
      <c r="AV19" s="4">
        <f t="shared" si="19"/>
        <v>2</v>
      </c>
      <c r="AW19" s="4">
        <f t="shared" si="20"/>
        <v>1</v>
      </c>
      <c r="AX19" s="4">
        <f t="shared" si="21"/>
        <v>1</v>
      </c>
      <c r="AY19" s="4">
        <f t="shared" si="22"/>
        <v>1</v>
      </c>
      <c r="AZ19" s="4">
        <f t="shared" si="23"/>
        <v>2</v>
      </c>
      <c r="BA19" s="4">
        <f t="shared" si="24"/>
        <v>1</v>
      </c>
      <c r="BB19" s="4">
        <f t="shared" si="25"/>
        <v>1</v>
      </c>
      <c r="BC19" s="4">
        <f t="shared" si="26"/>
        <v>1</v>
      </c>
      <c r="BD19" s="4">
        <f t="shared" si="27"/>
        <v>1</v>
      </c>
      <c r="BE19" s="4">
        <f t="shared" si="28"/>
        <v>1</v>
      </c>
      <c r="BF19" s="4">
        <f t="shared" si="29"/>
        <v>1</v>
      </c>
      <c r="BG19" s="4">
        <f t="shared" si="30"/>
        <v>1</v>
      </c>
      <c r="BH19" s="4">
        <f t="shared" si="31"/>
        <v>1</v>
      </c>
      <c r="BI19" s="4">
        <f t="shared" si="32"/>
        <v>2</v>
      </c>
      <c r="BJ19" s="4">
        <f t="shared" si="33"/>
        <v>1</v>
      </c>
      <c r="BK19" s="4">
        <f t="shared" si="34"/>
        <v>1</v>
      </c>
      <c r="BL19" s="4">
        <f t="shared" si="35"/>
        <v>1</v>
      </c>
      <c r="BM19" s="4">
        <f t="shared" si="36"/>
        <v>2</v>
      </c>
      <c r="BN19" s="4">
        <f t="shared" si="37"/>
        <v>1</v>
      </c>
      <c r="BO19" s="4">
        <f t="shared" si="38"/>
        <v>1</v>
      </c>
    </row>
    <row r="20" spans="1:67">
      <c r="A20" s="4">
        <v>0</v>
      </c>
      <c r="B20" s="4">
        <f>transform!A21</f>
        <v>3</v>
      </c>
      <c r="C20" s="4">
        <f>transform!B21</f>
        <v>1</v>
      </c>
      <c r="D20" s="4">
        <f>transform!C21</f>
        <v>5</v>
      </c>
      <c r="E20" s="4">
        <f>transform!D21</f>
        <v>40876</v>
      </c>
      <c r="F20" s="4">
        <f>transform!E21</f>
        <v>2</v>
      </c>
      <c r="G20" s="4">
        <f>transform!F21</f>
        <v>1993</v>
      </c>
      <c r="H20" s="4">
        <f>transform!G21</f>
        <v>3</v>
      </c>
      <c r="I20" s="4">
        <f>transform!H21</f>
        <v>1</v>
      </c>
      <c r="J20" s="4">
        <f>COUNTIF(Raw!AR21:CA21,1)/(COUNTIF(Raw!AR21:CA21,1)+COUNTIF(Raw!AR21:CA21,0))</f>
        <v>0.523809523809524</v>
      </c>
      <c r="K20" s="15">
        <v>0.285714285714286</v>
      </c>
      <c r="L20" s="15">
        <v>1</v>
      </c>
      <c r="M20" s="15">
        <v>1</v>
      </c>
      <c r="N20" s="4">
        <f>transform!CC21</f>
        <v>2</v>
      </c>
      <c r="O20" s="4">
        <f>transform!CD21</f>
        <v>2</v>
      </c>
      <c r="P20" s="4">
        <f>transform!CE21</f>
        <v>2</v>
      </c>
      <c r="Q20" s="4">
        <f>transform!CF21</f>
        <v>2</v>
      </c>
      <c r="R20" s="4">
        <f>transform!CG21</f>
        <v>2</v>
      </c>
      <c r="S20" s="4">
        <f>transform!CH21</f>
        <v>2</v>
      </c>
      <c r="T20" s="4">
        <f>transform!CI21</f>
        <v>1</v>
      </c>
      <c r="U20" s="4">
        <f>transform!CJ21</f>
        <v>2</v>
      </c>
      <c r="V20" s="4">
        <f t="shared" si="0"/>
        <v>0</v>
      </c>
      <c r="W20" s="4">
        <f t="shared" si="1"/>
        <v>1</v>
      </c>
      <c r="X20" s="4">
        <f t="shared" si="2"/>
        <v>3</v>
      </c>
      <c r="Y20" s="4">
        <f>transform!CK21</f>
        <v>2</v>
      </c>
      <c r="Z20" s="4">
        <f>transform!CL21</f>
        <v>0</v>
      </c>
      <c r="AA20" s="4">
        <f>transform!CM21</f>
        <v>1</v>
      </c>
      <c r="AB20" s="4">
        <f t="shared" si="3"/>
        <v>0</v>
      </c>
      <c r="AC20" s="4">
        <f t="shared" si="4"/>
        <v>0</v>
      </c>
      <c r="AD20" s="4">
        <f t="shared" si="5"/>
        <v>1</v>
      </c>
      <c r="AE20" s="4">
        <f>transform!CN21</f>
        <v>2</v>
      </c>
      <c r="AF20" s="4">
        <f>transform!CO21</f>
        <v>0</v>
      </c>
      <c r="AG20" s="4">
        <f>transform!CP21</f>
        <v>2</v>
      </c>
      <c r="AH20" s="4">
        <f t="shared" si="6"/>
        <v>0</v>
      </c>
      <c r="AI20" s="4">
        <f t="shared" si="7"/>
        <v>0</v>
      </c>
      <c r="AJ20" s="4">
        <f t="shared" si="8"/>
        <v>1</v>
      </c>
      <c r="AK20" s="4">
        <f>transform!CQ21</f>
        <v>2</v>
      </c>
      <c r="AL20" s="4">
        <f t="shared" si="9"/>
        <v>1</v>
      </c>
      <c r="AM20" s="4">
        <f t="shared" si="10"/>
        <v>2</v>
      </c>
      <c r="AN20" s="4">
        <f t="shared" si="11"/>
        <v>1</v>
      </c>
      <c r="AO20" s="4">
        <f t="shared" si="12"/>
        <v>1</v>
      </c>
      <c r="AP20" s="4">
        <f t="shared" si="13"/>
        <v>1</v>
      </c>
      <c r="AQ20" s="4">
        <f t="shared" si="14"/>
        <v>2</v>
      </c>
      <c r="AR20" s="4">
        <f t="shared" si="15"/>
        <v>1</v>
      </c>
      <c r="AS20" s="4">
        <f t="shared" si="16"/>
        <v>1</v>
      </c>
      <c r="AT20" s="4">
        <f t="shared" si="17"/>
        <v>1</v>
      </c>
      <c r="AU20" s="4">
        <f t="shared" si="18"/>
        <v>2</v>
      </c>
      <c r="AV20" s="4">
        <f t="shared" si="19"/>
        <v>1</v>
      </c>
      <c r="AW20" s="4">
        <f t="shared" si="20"/>
        <v>1</v>
      </c>
      <c r="AX20" s="4">
        <f t="shared" si="21"/>
        <v>1</v>
      </c>
      <c r="AY20" s="4">
        <f t="shared" si="22"/>
        <v>1</v>
      </c>
      <c r="AZ20" s="4">
        <f t="shared" si="23"/>
        <v>1</v>
      </c>
      <c r="BA20" s="4">
        <f t="shared" si="24"/>
        <v>2</v>
      </c>
      <c r="BB20" s="4">
        <f t="shared" si="25"/>
        <v>1</v>
      </c>
      <c r="BC20" s="4">
        <f t="shared" si="26"/>
        <v>1</v>
      </c>
      <c r="BD20" s="4">
        <f t="shared" si="27"/>
        <v>1</v>
      </c>
      <c r="BE20" s="4">
        <f t="shared" si="28"/>
        <v>2</v>
      </c>
      <c r="BF20" s="4">
        <f t="shared" si="29"/>
        <v>1</v>
      </c>
      <c r="BG20" s="4">
        <f t="shared" si="30"/>
        <v>1</v>
      </c>
      <c r="BH20" s="4">
        <f t="shared" si="31"/>
        <v>1</v>
      </c>
      <c r="BI20" s="4">
        <f t="shared" si="32"/>
        <v>1</v>
      </c>
      <c r="BJ20" s="4">
        <f t="shared" si="33"/>
        <v>1</v>
      </c>
      <c r="BK20" s="4">
        <f t="shared" si="34"/>
        <v>2</v>
      </c>
      <c r="BL20" s="4">
        <f t="shared" si="35"/>
        <v>1</v>
      </c>
      <c r="BM20" s="4">
        <f t="shared" si="36"/>
        <v>1</v>
      </c>
      <c r="BN20" s="4">
        <f t="shared" si="37"/>
        <v>1</v>
      </c>
      <c r="BO20" s="4">
        <f t="shared" si="38"/>
        <v>1</v>
      </c>
    </row>
    <row r="21" spans="1:67">
      <c r="A21" s="4">
        <v>0</v>
      </c>
      <c r="B21" s="4">
        <f>transform!A22</f>
        <v>3</v>
      </c>
      <c r="C21" s="4">
        <f>transform!B22</f>
        <v>1</v>
      </c>
      <c r="D21" s="4">
        <f>transform!C22</f>
        <v>6</v>
      </c>
      <c r="E21" s="4">
        <f>transform!D22</f>
        <v>40876</v>
      </c>
      <c r="F21" s="4">
        <f>transform!E22</f>
        <v>2</v>
      </c>
      <c r="G21" s="4">
        <f>transform!F22</f>
        <v>1990</v>
      </c>
      <c r="H21" s="4">
        <f>transform!G22</f>
        <v>3</v>
      </c>
      <c r="I21" s="4">
        <f>transform!H22</f>
        <v>1</v>
      </c>
      <c r="J21" s="4">
        <f>COUNTIF(Raw!AR22:CA22,1)/(COUNTIF(Raw!AR22:CA22,1)+COUNTIF(Raw!AR22:CA22,0))</f>
        <v>0.380952380952381</v>
      </c>
      <c r="K21" s="15">
        <v>0.428571428571429</v>
      </c>
      <c r="L21" s="15">
        <v>0</v>
      </c>
      <c r="M21" s="15">
        <v>1</v>
      </c>
      <c r="N21" s="4">
        <f>transform!CC22</f>
        <v>2</v>
      </c>
      <c r="O21" s="4">
        <f>transform!CD22</f>
        <v>2</v>
      </c>
      <c r="P21" s="4">
        <f>transform!CE22</f>
        <v>1</v>
      </c>
      <c r="Q21" s="4">
        <f>transform!CF22</f>
        <v>2</v>
      </c>
      <c r="R21" s="4">
        <f>transform!CG22</f>
        <v>1</v>
      </c>
      <c r="S21" s="4">
        <f>transform!CH22</f>
        <v>2</v>
      </c>
      <c r="T21" s="4">
        <f>transform!CI22</f>
        <v>1</v>
      </c>
      <c r="U21" s="4">
        <f>transform!CJ22</f>
        <v>2</v>
      </c>
      <c r="V21" s="4">
        <f t="shared" si="0"/>
        <v>0</v>
      </c>
      <c r="W21" s="4">
        <f t="shared" si="1"/>
        <v>1</v>
      </c>
      <c r="X21" s="4">
        <f t="shared" si="2"/>
        <v>3</v>
      </c>
      <c r="Y21" s="4">
        <f>transform!CK22</f>
        <v>2</v>
      </c>
      <c r="Z21" s="4">
        <f>transform!CL22</f>
        <v>0</v>
      </c>
      <c r="AA21" s="4">
        <f>transform!CM22</f>
        <v>2</v>
      </c>
      <c r="AB21" s="4">
        <f t="shared" si="3"/>
        <v>0</v>
      </c>
      <c r="AC21" s="4">
        <f t="shared" si="4"/>
        <v>0</v>
      </c>
      <c r="AD21" s="4">
        <f t="shared" si="5"/>
        <v>1</v>
      </c>
      <c r="AE21" s="4">
        <f>transform!CN22</f>
        <v>2</v>
      </c>
      <c r="AF21" s="4">
        <f>transform!CO22</f>
        <v>0</v>
      </c>
      <c r="AG21" s="4">
        <f>transform!CP22</f>
        <v>1</v>
      </c>
      <c r="AH21" s="4">
        <f t="shared" si="6"/>
        <v>0</v>
      </c>
      <c r="AI21" s="4">
        <f t="shared" si="7"/>
        <v>0</v>
      </c>
      <c r="AJ21" s="4">
        <f t="shared" si="8"/>
        <v>1</v>
      </c>
      <c r="AK21" s="4">
        <f>transform!CQ22</f>
        <v>2</v>
      </c>
      <c r="AL21" s="4">
        <f t="shared" si="9"/>
        <v>1</v>
      </c>
      <c r="AM21" s="4">
        <f t="shared" si="10"/>
        <v>2</v>
      </c>
      <c r="AN21" s="4">
        <f t="shared" si="11"/>
        <v>1</v>
      </c>
      <c r="AO21" s="4">
        <f t="shared" si="12"/>
        <v>1</v>
      </c>
      <c r="AP21" s="4">
        <f t="shared" si="13"/>
        <v>1</v>
      </c>
      <c r="AQ21" s="4">
        <f t="shared" si="14"/>
        <v>1</v>
      </c>
      <c r="AR21" s="4">
        <f t="shared" si="15"/>
        <v>2</v>
      </c>
      <c r="AS21" s="4">
        <f t="shared" si="16"/>
        <v>1</v>
      </c>
      <c r="AT21" s="4">
        <f t="shared" si="17"/>
        <v>1</v>
      </c>
      <c r="AU21" s="4">
        <f t="shared" si="18"/>
        <v>1</v>
      </c>
      <c r="AV21" s="4">
        <f t="shared" si="19"/>
        <v>2</v>
      </c>
      <c r="AW21" s="4">
        <f t="shared" si="20"/>
        <v>1</v>
      </c>
      <c r="AX21" s="4">
        <f t="shared" si="21"/>
        <v>1</v>
      </c>
      <c r="AY21" s="4">
        <f t="shared" si="22"/>
        <v>1</v>
      </c>
      <c r="AZ21" s="4">
        <f t="shared" si="23"/>
        <v>1</v>
      </c>
      <c r="BA21" s="4">
        <f t="shared" si="24"/>
        <v>2</v>
      </c>
      <c r="BB21" s="4">
        <f t="shared" si="25"/>
        <v>1</v>
      </c>
      <c r="BC21" s="4">
        <f t="shared" si="26"/>
        <v>1</v>
      </c>
      <c r="BD21" s="4">
        <f t="shared" si="27"/>
        <v>1</v>
      </c>
      <c r="BE21" s="4">
        <f t="shared" si="28"/>
        <v>2</v>
      </c>
      <c r="BF21" s="4">
        <f t="shared" si="29"/>
        <v>1</v>
      </c>
      <c r="BG21" s="4">
        <f t="shared" si="30"/>
        <v>1</v>
      </c>
      <c r="BH21" s="4">
        <f t="shared" si="31"/>
        <v>1</v>
      </c>
      <c r="BI21" s="4">
        <f t="shared" si="32"/>
        <v>1</v>
      </c>
      <c r="BJ21" s="4">
        <f t="shared" si="33"/>
        <v>1</v>
      </c>
      <c r="BK21" s="4">
        <f t="shared" si="34"/>
        <v>2</v>
      </c>
      <c r="BL21" s="4">
        <f t="shared" si="35"/>
        <v>1</v>
      </c>
      <c r="BM21" s="4">
        <f t="shared" si="36"/>
        <v>1</v>
      </c>
      <c r="BN21" s="4">
        <f t="shared" si="37"/>
        <v>1</v>
      </c>
      <c r="BO21" s="4">
        <f t="shared" si="38"/>
        <v>1</v>
      </c>
    </row>
    <row r="22" spans="1:67">
      <c r="A22" s="4">
        <v>0</v>
      </c>
      <c r="B22" s="4">
        <f>transform!A23</f>
        <v>3</v>
      </c>
      <c r="C22" s="4">
        <f>transform!B23</f>
        <v>1</v>
      </c>
      <c r="D22" s="4">
        <f>transform!C23</f>
        <v>7</v>
      </c>
      <c r="E22" s="4">
        <f>transform!D23</f>
        <v>40876</v>
      </c>
      <c r="F22" s="4">
        <f>transform!E23</f>
        <v>2</v>
      </c>
      <c r="G22" s="4">
        <f>transform!F23</f>
        <v>1988</v>
      </c>
      <c r="H22" s="4">
        <f>transform!G23</f>
        <v>3</v>
      </c>
      <c r="I22" s="4">
        <f>transform!H23</f>
        <v>1</v>
      </c>
      <c r="J22" s="4">
        <f>COUNTIF(Raw!AR23:CA23,1)/(COUNTIF(Raw!AR23:CA23,1)+COUNTIF(Raw!AR23:CA23,0))</f>
        <v>0.80952380952381</v>
      </c>
      <c r="K22" s="15">
        <v>0.571428571428571</v>
      </c>
      <c r="L22" s="15">
        <v>1</v>
      </c>
      <c r="M22" s="15">
        <v>1</v>
      </c>
      <c r="N22" s="4">
        <f>transform!CC23</f>
        <v>2</v>
      </c>
      <c r="O22" s="4">
        <f>transform!CD23</f>
        <v>1</v>
      </c>
      <c r="P22" s="4">
        <f>transform!CE23</f>
        <v>2</v>
      </c>
      <c r="Q22" s="4">
        <f>transform!CF23</f>
        <v>1</v>
      </c>
      <c r="R22" s="4">
        <f>transform!CG23</f>
        <v>2</v>
      </c>
      <c r="S22" s="4">
        <f>transform!CH23</f>
        <v>1</v>
      </c>
      <c r="T22" s="4">
        <f>transform!CI23</f>
        <v>1</v>
      </c>
      <c r="U22" s="4">
        <f>transform!CJ23</f>
        <v>2</v>
      </c>
      <c r="V22" s="4">
        <f t="shared" si="0"/>
        <v>0</v>
      </c>
      <c r="W22" s="4">
        <f t="shared" si="1"/>
        <v>1</v>
      </c>
      <c r="X22" s="4">
        <f t="shared" si="2"/>
        <v>3</v>
      </c>
      <c r="Y22" s="4">
        <f>transform!CK23</f>
        <v>2</v>
      </c>
      <c r="Z22" s="4">
        <f>transform!CL23</f>
        <v>0</v>
      </c>
      <c r="AA22" s="4">
        <f>transform!CM23</f>
        <v>2</v>
      </c>
      <c r="AB22" s="4">
        <f t="shared" si="3"/>
        <v>0</v>
      </c>
      <c r="AC22" s="4">
        <f t="shared" si="4"/>
        <v>0</v>
      </c>
      <c r="AD22" s="4">
        <f t="shared" si="5"/>
        <v>1</v>
      </c>
      <c r="AE22" s="4">
        <f>transform!CN23</f>
        <v>1</v>
      </c>
      <c r="AF22" s="4">
        <f>transform!CO23</f>
        <v>0</v>
      </c>
      <c r="AG22" s="4">
        <f>transform!CP23</f>
        <v>2</v>
      </c>
      <c r="AH22" s="4">
        <f t="shared" si="6"/>
        <v>0</v>
      </c>
      <c r="AI22" s="4">
        <f t="shared" si="7"/>
        <v>0</v>
      </c>
      <c r="AJ22" s="4">
        <f t="shared" si="8"/>
        <v>1</v>
      </c>
      <c r="AK22" s="4">
        <f>transform!CQ23</f>
        <v>1</v>
      </c>
      <c r="AL22" s="4">
        <f t="shared" si="9"/>
        <v>1</v>
      </c>
      <c r="AM22" s="4">
        <f t="shared" si="10"/>
        <v>1</v>
      </c>
      <c r="AN22" s="4">
        <f t="shared" si="11"/>
        <v>1</v>
      </c>
      <c r="AO22" s="4">
        <f t="shared" si="12"/>
        <v>2</v>
      </c>
      <c r="AP22" s="4">
        <f t="shared" si="13"/>
        <v>1</v>
      </c>
      <c r="AQ22" s="4">
        <f t="shared" si="14"/>
        <v>1</v>
      </c>
      <c r="AR22" s="4">
        <f t="shared" si="15"/>
        <v>1</v>
      </c>
      <c r="AS22" s="4">
        <f t="shared" si="16"/>
        <v>2</v>
      </c>
      <c r="AT22" s="4">
        <f t="shared" si="17"/>
        <v>1</v>
      </c>
      <c r="AU22" s="4">
        <f t="shared" si="18"/>
        <v>1</v>
      </c>
      <c r="AV22" s="4">
        <f t="shared" si="19"/>
        <v>1</v>
      </c>
      <c r="AW22" s="4">
        <f t="shared" si="20"/>
        <v>2</v>
      </c>
      <c r="AX22" s="4">
        <f t="shared" si="21"/>
        <v>1</v>
      </c>
      <c r="AY22" s="4">
        <f t="shared" si="22"/>
        <v>1</v>
      </c>
      <c r="AZ22" s="4">
        <f t="shared" si="23"/>
        <v>1</v>
      </c>
      <c r="BA22" s="4">
        <f t="shared" si="24"/>
        <v>2</v>
      </c>
      <c r="BB22" s="4">
        <f t="shared" si="25"/>
        <v>1</v>
      </c>
      <c r="BC22" s="4">
        <f t="shared" si="26"/>
        <v>1</v>
      </c>
      <c r="BD22" s="4">
        <f t="shared" si="27"/>
        <v>2</v>
      </c>
      <c r="BE22" s="4">
        <f t="shared" si="28"/>
        <v>1</v>
      </c>
      <c r="BF22" s="4">
        <f t="shared" si="29"/>
        <v>1</v>
      </c>
      <c r="BG22" s="4">
        <f t="shared" si="30"/>
        <v>1</v>
      </c>
      <c r="BH22" s="4">
        <f t="shared" si="31"/>
        <v>1</v>
      </c>
      <c r="BI22" s="4">
        <f t="shared" si="32"/>
        <v>1</v>
      </c>
      <c r="BJ22" s="4">
        <f t="shared" si="33"/>
        <v>2</v>
      </c>
      <c r="BK22" s="4">
        <f t="shared" si="34"/>
        <v>1</v>
      </c>
      <c r="BL22" s="4">
        <f t="shared" si="35"/>
        <v>1</v>
      </c>
      <c r="BM22" s="4">
        <f t="shared" si="36"/>
        <v>1</v>
      </c>
      <c r="BN22" s="4">
        <f t="shared" si="37"/>
        <v>1</v>
      </c>
      <c r="BO22" s="4">
        <f t="shared" si="38"/>
        <v>1</v>
      </c>
    </row>
    <row r="23" spans="1:67">
      <c r="A23" s="4">
        <v>0</v>
      </c>
      <c r="B23" s="4">
        <f>transform!A24</f>
        <v>4</v>
      </c>
      <c r="C23" s="4">
        <f>transform!B24</f>
        <v>1</v>
      </c>
      <c r="D23" s="4">
        <f>transform!C24</f>
        <v>1</v>
      </c>
      <c r="E23" s="4">
        <f>transform!D24</f>
        <v>40876</v>
      </c>
      <c r="F23" s="4">
        <f>transform!E24</f>
        <v>2</v>
      </c>
      <c r="G23" s="4">
        <f>transform!F24</f>
        <v>1990</v>
      </c>
      <c r="H23" s="4">
        <f>transform!G24</f>
        <v>1</v>
      </c>
      <c r="I23" s="4">
        <f>transform!H24</f>
        <v>1</v>
      </c>
      <c r="J23" s="4">
        <f>COUNTIF(Raw!AR24:CA24,1)/(COUNTIF(Raw!AR24:CA24,1)+COUNTIF(Raw!AR24:CA24,0))</f>
        <v>0.571428571428571</v>
      </c>
      <c r="K23" s="15">
        <v>0</v>
      </c>
      <c r="L23" s="15">
        <v>1</v>
      </c>
      <c r="M23" s="15">
        <v>1</v>
      </c>
      <c r="N23" s="4">
        <f>transform!CC24</f>
        <v>2</v>
      </c>
      <c r="O23" s="4">
        <f>transform!CD24</f>
        <v>2</v>
      </c>
      <c r="P23" s="4">
        <f>transform!CE24</f>
        <v>2</v>
      </c>
      <c r="Q23" s="4">
        <f>transform!CF24</f>
        <v>2</v>
      </c>
      <c r="R23" s="4">
        <f>transform!CG24</f>
        <v>2</v>
      </c>
      <c r="S23" s="4">
        <f>transform!CH24</f>
        <v>1</v>
      </c>
      <c r="T23" s="4">
        <f>transform!CI24</f>
        <v>1</v>
      </c>
      <c r="U23" s="4">
        <f>transform!CJ24</f>
        <v>2</v>
      </c>
      <c r="V23" s="4">
        <f t="shared" si="0"/>
        <v>0</v>
      </c>
      <c r="W23" s="4">
        <f t="shared" si="1"/>
        <v>1</v>
      </c>
      <c r="X23" s="4">
        <f t="shared" si="2"/>
        <v>3</v>
      </c>
      <c r="Y23" s="4">
        <f>transform!CK24</f>
        <v>2</v>
      </c>
      <c r="Z23" s="4">
        <f>transform!CL24</f>
        <v>0</v>
      </c>
      <c r="AA23" s="4">
        <f>transform!CM24</f>
        <v>2</v>
      </c>
      <c r="AB23" s="4">
        <f t="shared" si="3"/>
        <v>0</v>
      </c>
      <c r="AC23" s="4">
        <f t="shared" si="4"/>
        <v>0</v>
      </c>
      <c r="AD23" s="4">
        <f t="shared" si="5"/>
        <v>1</v>
      </c>
      <c r="AE23" s="4">
        <f>transform!CN24</f>
        <v>2</v>
      </c>
      <c r="AF23" s="4">
        <f>transform!CO24</f>
        <v>0</v>
      </c>
      <c r="AG23" s="4">
        <f>transform!CP24</f>
        <v>2</v>
      </c>
      <c r="AH23" s="4">
        <f t="shared" si="6"/>
        <v>0</v>
      </c>
      <c r="AI23" s="4">
        <f t="shared" si="7"/>
        <v>0</v>
      </c>
      <c r="AJ23" s="4">
        <f t="shared" si="8"/>
        <v>1</v>
      </c>
      <c r="AK23" s="4">
        <f>transform!CQ24</f>
        <v>1</v>
      </c>
      <c r="AL23" s="4">
        <f t="shared" si="9"/>
        <v>1</v>
      </c>
      <c r="AM23" s="4">
        <f t="shared" si="10"/>
        <v>2</v>
      </c>
      <c r="AN23" s="4">
        <f t="shared" si="11"/>
        <v>1</v>
      </c>
      <c r="AO23" s="4">
        <f t="shared" si="12"/>
        <v>1</v>
      </c>
      <c r="AP23" s="4">
        <f t="shared" si="13"/>
        <v>1</v>
      </c>
      <c r="AQ23" s="4">
        <f t="shared" si="14"/>
        <v>2</v>
      </c>
      <c r="AR23" s="4">
        <f t="shared" si="15"/>
        <v>1</v>
      </c>
      <c r="AS23" s="4">
        <f t="shared" si="16"/>
        <v>1</v>
      </c>
      <c r="AT23" s="4">
        <f t="shared" si="17"/>
        <v>1</v>
      </c>
      <c r="AU23" s="4">
        <f t="shared" si="18"/>
        <v>1</v>
      </c>
      <c r="AV23" s="4">
        <f t="shared" si="19"/>
        <v>1</v>
      </c>
      <c r="AW23" s="4">
        <f t="shared" si="20"/>
        <v>2</v>
      </c>
      <c r="AX23" s="4">
        <f t="shared" si="21"/>
        <v>1</v>
      </c>
      <c r="AY23" s="4">
        <f t="shared" si="22"/>
        <v>1</v>
      </c>
      <c r="AZ23" s="4">
        <f t="shared" si="23"/>
        <v>1</v>
      </c>
      <c r="BA23" s="4">
        <f t="shared" si="24"/>
        <v>2</v>
      </c>
      <c r="BB23" s="4">
        <f t="shared" si="25"/>
        <v>1</v>
      </c>
      <c r="BC23" s="4">
        <f t="shared" si="26"/>
        <v>1</v>
      </c>
      <c r="BD23" s="4">
        <f t="shared" si="27"/>
        <v>1</v>
      </c>
      <c r="BE23" s="4">
        <f t="shared" si="28"/>
        <v>2</v>
      </c>
      <c r="BF23" s="4">
        <f t="shared" si="29"/>
        <v>1</v>
      </c>
      <c r="BG23" s="4">
        <f t="shared" si="30"/>
        <v>1</v>
      </c>
      <c r="BH23" s="4">
        <f t="shared" si="31"/>
        <v>1</v>
      </c>
      <c r="BI23" s="4">
        <f t="shared" si="32"/>
        <v>1</v>
      </c>
      <c r="BJ23" s="4">
        <f t="shared" si="33"/>
        <v>2</v>
      </c>
      <c r="BK23" s="4">
        <f t="shared" si="34"/>
        <v>1</v>
      </c>
      <c r="BL23" s="4">
        <f t="shared" si="35"/>
        <v>1</v>
      </c>
      <c r="BM23" s="4">
        <f t="shared" si="36"/>
        <v>1</v>
      </c>
      <c r="BN23" s="4">
        <f t="shared" si="37"/>
        <v>1</v>
      </c>
      <c r="BO23" s="4">
        <f t="shared" si="38"/>
        <v>1</v>
      </c>
    </row>
    <row r="24" spans="1:67">
      <c r="A24" s="4">
        <v>0</v>
      </c>
      <c r="B24" s="4">
        <f>transform!A25</f>
        <v>4</v>
      </c>
      <c r="C24" s="4">
        <f>transform!B25</f>
        <v>1</v>
      </c>
      <c r="D24" s="4">
        <f>transform!C25</f>
        <v>2</v>
      </c>
      <c r="E24" s="4">
        <f>transform!D25</f>
        <v>40876</v>
      </c>
      <c r="F24" s="4">
        <f>transform!E25</f>
        <v>2</v>
      </c>
      <c r="G24" s="4">
        <f>transform!F25</f>
        <v>1987</v>
      </c>
      <c r="H24" s="4">
        <f>transform!G25</f>
        <v>5</v>
      </c>
      <c r="I24" s="4">
        <f>transform!H25</f>
        <v>1</v>
      </c>
      <c r="J24" s="4">
        <f>COUNTIF(Raw!AR25:CA25,1)/(COUNTIF(Raw!AR25:CA25,1)+COUNTIF(Raw!AR25:CA25,0))</f>
        <v>0.80952380952381</v>
      </c>
      <c r="K24" s="15">
        <v>0</v>
      </c>
      <c r="L24" s="15">
        <v>1</v>
      </c>
      <c r="M24" s="15">
        <v>1</v>
      </c>
      <c r="N24" s="4">
        <f>transform!CC25</f>
        <v>2</v>
      </c>
      <c r="O24" s="4">
        <f>transform!CD25</f>
        <v>2</v>
      </c>
      <c r="P24" s="4">
        <f>transform!CE25</f>
        <v>2</v>
      </c>
      <c r="Q24" s="4">
        <f>transform!CF25</f>
        <v>2</v>
      </c>
      <c r="R24" s="4">
        <f>transform!CG25</f>
        <v>2</v>
      </c>
      <c r="S24" s="4">
        <f>transform!CH25</f>
        <v>2</v>
      </c>
      <c r="T24" s="4">
        <f>transform!CI25</f>
        <v>0</v>
      </c>
      <c r="U24" s="4">
        <f>transform!CJ25</f>
        <v>2</v>
      </c>
      <c r="V24" s="4">
        <f t="shared" si="0"/>
        <v>0</v>
      </c>
      <c r="W24" s="4">
        <f t="shared" si="1"/>
        <v>0</v>
      </c>
      <c r="X24" s="4">
        <f t="shared" si="2"/>
        <v>1</v>
      </c>
      <c r="Y24" s="4">
        <f>transform!CK25</f>
        <v>2</v>
      </c>
      <c r="Z24" s="4">
        <f>transform!CL25</f>
        <v>0</v>
      </c>
      <c r="AA24" s="4">
        <f>transform!CM25</f>
        <v>2</v>
      </c>
      <c r="AB24" s="4">
        <f t="shared" si="3"/>
        <v>0</v>
      </c>
      <c r="AC24" s="4">
        <f t="shared" si="4"/>
        <v>0</v>
      </c>
      <c r="AD24" s="4">
        <f t="shared" si="5"/>
        <v>1</v>
      </c>
      <c r="AE24" s="4">
        <f>transform!CN25</f>
        <v>2</v>
      </c>
      <c r="AF24" s="4">
        <f>transform!CO25</f>
        <v>0</v>
      </c>
      <c r="AG24" s="4">
        <f>transform!CP25</f>
        <v>2</v>
      </c>
      <c r="AH24" s="4">
        <f t="shared" si="6"/>
        <v>0</v>
      </c>
      <c r="AI24" s="4">
        <f t="shared" si="7"/>
        <v>0</v>
      </c>
      <c r="AJ24" s="4">
        <f t="shared" si="8"/>
        <v>1</v>
      </c>
      <c r="AK24" s="4">
        <f>transform!CQ25</f>
        <v>2</v>
      </c>
      <c r="AL24" s="4">
        <f t="shared" si="9"/>
        <v>1</v>
      </c>
      <c r="AM24" s="4">
        <f t="shared" si="10"/>
        <v>2</v>
      </c>
      <c r="AN24" s="4">
        <f t="shared" si="11"/>
        <v>1</v>
      </c>
      <c r="AO24" s="4">
        <f t="shared" si="12"/>
        <v>1</v>
      </c>
      <c r="AP24" s="4">
        <f t="shared" si="13"/>
        <v>1</v>
      </c>
      <c r="AQ24" s="4">
        <f t="shared" si="14"/>
        <v>2</v>
      </c>
      <c r="AR24" s="4">
        <f t="shared" si="15"/>
        <v>1</v>
      </c>
      <c r="AS24" s="4">
        <f t="shared" si="16"/>
        <v>1</v>
      </c>
      <c r="AT24" s="4">
        <f t="shared" si="17"/>
        <v>1</v>
      </c>
      <c r="AU24" s="4">
        <f t="shared" si="18"/>
        <v>2</v>
      </c>
      <c r="AV24" s="4">
        <f t="shared" si="19"/>
        <v>1</v>
      </c>
      <c r="AW24" s="4">
        <f t="shared" si="20"/>
        <v>1</v>
      </c>
      <c r="AX24" s="4">
        <f t="shared" si="21"/>
        <v>1</v>
      </c>
      <c r="AY24" s="4">
        <f t="shared" si="22"/>
        <v>2</v>
      </c>
      <c r="AZ24" s="4">
        <f t="shared" si="23"/>
        <v>1</v>
      </c>
      <c r="BA24" s="4">
        <f t="shared" si="24"/>
        <v>1</v>
      </c>
      <c r="BB24" s="4">
        <f t="shared" si="25"/>
        <v>1</v>
      </c>
      <c r="BC24" s="4">
        <f t="shared" si="26"/>
        <v>1</v>
      </c>
      <c r="BD24" s="4">
        <f t="shared" si="27"/>
        <v>1</v>
      </c>
      <c r="BE24" s="4">
        <f t="shared" si="28"/>
        <v>2</v>
      </c>
      <c r="BF24" s="4">
        <f t="shared" si="29"/>
        <v>1</v>
      </c>
      <c r="BG24" s="4">
        <f t="shared" si="30"/>
        <v>1</v>
      </c>
      <c r="BH24" s="4">
        <f t="shared" si="31"/>
        <v>1</v>
      </c>
      <c r="BI24" s="4">
        <f t="shared" si="32"/>
        <v>1</v>
      </c>
      <c r="BJ24" s="4">
        <f t="shared" si="33"/>
        <v>1</v>
      </c>
      <c r="BK24" s="4">
        <f t="shared" si="34"/>
        <v>2</v>
      </c>
      <c r="BL24" s="4">
        <f t="shared" si="35"/>
        <v>1</v>
      </c>
      <c r="BM24" s="4">
        <f t="shared" si="36"/>
        <v>1</v>
      </c>
      <c r="BN24" s="4">
        <f t="shared" si="37"/>
        <v>1</v>
      </c>
      <c r="BO24" s="4">
        <f t="shared" si="38"/>
        <v>1</v>
      </c>
    </row>
    <row r="25" spans="1:67">
      <c r="A25" s="4">
        <v>0</v>
      </c>
      <c r="B25" s="4">
        <f>transform!A26</f>
        <v>4</v>
      </c>
      <c r="C25" s="4">
        <f>transform!B26</f>
        <v>1</v>
      </c>
      <c r="D25" s="4">
        <f>transform!C26</f>
        <v>3</v>
      </c>
      <c r="E25" s="4">
        <f>transform!D26</f>
        <v>40883</v>
      </c>
      <c r="F25" s="4">
        <f>transform!E26</f>
        <v>2</v>
      </c>
      <c r="G25" s="4">
        <f>transform!F26</f>
        <v>1987</v>
      </c>
      <c r="H25" s="4">
        <f>transform!G26</f>
        <v>4</v>
      </c>
      <c r="I25" s="4">
        <f>transform!H26</f>
        <v>1</v>
      </c>
      <c r="J25" s="4">
        <f>COUNTIF(Raw!AR26:CA26,1)/(COUNTIF(Raw!AR26:CA26,1)+COUNTIF(Raw!AR26:CA26,0))</f>
        <v>0.0476190476190476</v>
      </c>
      <c r="K25" s="15">
        <v>0</v>
      </c>
      <c r="L25" s="15">
        <v>0</v>
      </c>
      <c r="M25" s="15">
        <v>1</v>
      </c>
      <c r="N25" s="4">
        <f>transform!CC26</f>
        <v>1</v>
      </c>
      <c r="O25" s="4">
        <f>transform!CD26</f>
        <v>2</v>
      </c>
      <c r="P25" s="4">
        <f>transform!CE26</f>
        <v>1</v>
      </c>
      <c r="Q25" s="4">
        <f>transform!CF26</f>
        <v>2</v>
      </c>
      <c r="R25" s="4">
        <f>transform!CG26</f>
        <v>1</v>
      </c>
      <c r="S25" s="4">
        <f>transform!CH26</f>
        <v>2</v>
      </c>
      <c r="T25" s="4">
        <f>transform!CI26</f>
        <v>0</v>
      </c>
      <c r="U25" s="4">
        <f>transform!CJ26</f>
        <v>1</v>
      </c>
      <c r="V25" s="4">
        <f t="shared" si="0"/>
        <v>0</v>
      </c>
      <c r="W25" s="4">
        <f t="shared" si="1"/>
        <v>0</v>
      </c>
      <c r="X25" s="4">
        <f t="shared" si="2"/>
        <v>1</v>
      </c>
      <c r="Y25" s="4">
        <f>transform!CK26</f>
        <v>2</v>
      </c>
      <c r="Z25" s="4">
        <f>transform!CL26</f>
        <v>0</v>
      </c>
      <c r="AA25" s="4">
        <f>transform!CM26</f>
        <v>1</v>
      </c>
      <c r="AB25" s="4">
        <f t="shared" si="3"/>
        <v>0</v>
      </c>
      <c r="AC25" s="4">
        <f t="shared" si="4"/>
        <v>0</v>
      </c>
      <c r="AD25" s="4">
        <f t="shared" si="5"/>
        <v>1</v>
      </c>
      <c r="AE25" s="4">
        <f>transform!CN26</f>
        <v>2</v>
      </c>
      <c r="AF25" s="4">
        <f>transform!CO26</f>
        <v>0</v>
      </c>
      <c r="AG25" s="4">
        <f>transform!CP26</f>
        <v>1</v>
      </c>
      <c r="AH25" s="4">
        <f t="shared" si="6"/>
        <v>0</v>
      </c>
      <c r="AI25" s="4">
        <f t="shared" si="7"/>
        <v>0</v>
      </c>
      <c r="AJ25" s="4">
        <f t="shared" si="8"/>
        <v>1</v>
      </c>
      <c r="AK25" s="4">
        <f>transform!CQ26</f>
        <v>2</v>
      </c>
      <c r="AL25" s="4">
        <f t="shared" si="9"/>
        <v>1</v>
      </c>
      <c r="AM25" s="4">
        <f t="shared" si="10"/>
        <v>1</v>
      </c>
      <c r="AN25" s="4">
        <f t="shared" si="11"/>
        <v>2</v>
      </c>
      <c r="AO25" s="4">
        <f t="shared" si="12"/>
        <v>1</v>
      </c>
      <c r="AP25" s="4">
        <f t="shared" si="13"/>
        <v>1</v>
      </c>
      <c r="AQ25" s="4">
        <f t="shared" si="14"/>
        <v>1</v>
      </c>
      <c r="AR25" s="4">
        <f t="shared" si="15"/>
        <v>2</v>
      </c>
      <c r="AS25" s="4">
        <f t="shared" si="16"/>
        <v>1</v>
      </c>
      <c r="AT25" s="4">
        <f t="shared" si="17"/>
        <v>1</v>
      </c>
      <c r="AU25" s="4">
        <f t="shared" si="18"/>
        <v>1</v>
      </c>
      <c r="AV25" s="4">
        <f t="shared" si="19"/>
        <v>2</v>
      </c>
      <c r="AW25" s="4">
        <f t="shared" si="20"/>
        <v>1</v>
      </c>
      <c r="AX25" s="4">
        <f t="shared" si="21"/>
        <v>1</v>
      </c>
      <c r="AY25" s="4">
        <f t="shared" si="22"/>
        <v>2</v>
      </c>
      <c r="AZ25" s="4">
        <f t="shared" si="23"/>
        <v>1</v>
      </c>
      <c r="BA25" s="4">
        <f t="shared" si="24"/>
        <v>1</v>
      </c>
      <c r="BB25" s="4">
        <f t="shared" si="25"/>
        <v>1</v>
      </c>
      <c r="BC25" s="4">
        <f t="shared" si="26"/>
        <v>1</v>
      </c>
      <c r="BD25" s="4">
        <f t="shared" si="27"/>
        <v>1</v>
      </c>
      <c r="BE25" s="4">
        <f t="shared" si="28"/>
        <v>2</v>
      </c>
      <c r="BF25" s="4">
        <f t="shared" si="29"/>
        <v>1</v>
      </c>
      <c r="BG25" s="4">
        <f t="shared" si="30"/>
        <v>1</v>
      </c>
      <c r="BH25" s="4">
        <f t="shared" si="31"/>
        <v>1</v>
      </c>
      <c r="BI25" s="4">
        <f t="shared" si="32"/>
        <v>1</v>
      </c>
      <c r="BJ25" s="4">
        <f t="shared" si="33"/>
        <v>1</v>
      </c>
      <c r="BK25" s="4">
        <f t="shared" si="34"/>
        <v>2</v>
      </c>
      <c r="BL25" s="4">
        <f t="shared" si="35"/>
        <v>1</v>
      </c>
      <c r="BM25" s="4">
        <f t="shared" si="36"/>
        <v>1</v>
      </c>
      <c r="BN25" s="4">
        <f t="shared" si="37"/>
        <v>1</v>
      </c>
      <c r="BO25" s="4">
        <f t="shared" si="38"/>
        <v>1</v>
      </c>
    </row>
    <row r="26" spans="1:67">
      <c r="A26" s="4">
        <v>0</v>
      </c>
      <c r="B26" s="4">
        <f>transform!A27</f>
        <v>4</v>
      </c>
      <c r="C26" s="4">
        <f>transform!B27</f>
        <v>1</v>
      </c>
      <c r="D26" s="4">
        <f>transform!C27</f>
        <v>4</v>
      </c>
      <c r="E26" s="4">
        <f>transform!D27</f>
        <v>40876</v>
      </c>
      <c r="F26" s="4">
        <f>transform!E27</f>
        <v>2</v>
      </c>
      <c r="G26" s="4">
        <f>transform!F27</f>
        <v>1991</v>
      </c>
      <c r="H26" s="4">
        <f>transform!G27</f>
        <v>4</v>
      </c>
      <c r="I26" s="4">
        <f>transform!H27</f>
        <v>1</v>
      </c>
      <c r="J26" s="4">
        <f>COUNTIF(Raw!AR27:CA27,1)/(COUNTIF(Raw!AR27:CA27,1)+COUNTIF(Raw!AR27:CA27,0))</f>
        <v>0.380952380952381</v>
      </c>
      <c r="K26" s="15">
        <v>0</v>
      </c>
      <c r="L26" s="15">
        <v>0</v>
      </c>
      <c r="M26" s="15">
        <v>1</v>
      </c>
      <c r="N26" s="4">
        <f>transform!CC27</f>
        <v>2</v>
      </c>
      <c r="O26" s="4">
        <f>transform!CD27</f>
        <v>2</v>
      </c>
      <c r="P26" s="4">
        <f>transform!CE27</f>
        <v>2</v>
      </c>
      <c r="Q26" s="4">
        <f>transform!CF27</f>
        <v>2</v>
      </c>
      <c r="R26" s="4">
        <f>transform!CG27</f>
        <v>2</v>
      </c>
      <c r="S26" s="4">
        <f>transform!CH27</f>
        <v>2</v>
      </c>
      <c r="T26" s="4">
        <f>transform!CI27</f>
        <v>1</v>
      </c>
      <c r="U26" s="4">
        <f>transform!CJ27</f>
        <v>2</v>
      </c>
      <c r="V26" s="4">
        <f t="shared" si="0"/>
        <v>0</v>
      </c>
      <c r="W26" s="4">
        <f t="shared" si="1"/>
        <v>1</v>
      </c>
      <c r="X26" s="4">
        <f t="shared" si="2"/>
        <v>3</v>
      </c>
      <c r="Y26" s="4">
        <f>transform!CK27</f>
        <v>2</v>
      </c>
      <c r="Z26" s="4">
        <f>transform!CL27</f>
        <v>1</v>
      </c>
      <c r="AA26" s="4">
        <f>transform!CM27</f>
        <v>2</v>
      </c>
      <c r="AB26" s="4">
        <f t="shared" si="3"/>
        <v>0</v>
      </c>
      <c r="AC26" s="4">
        <f t="shared" si="4"/>
        <v>1</v>
      </c>
      <c r="AD26" s="4">
        <f t="shared" si="5"/>
        <v>3</v>
      </c>
      <c r="AE26" s="4">
        <f>transform!CN27</f>
        <v>2</v>
      </c>
      <c r="AF26" s="4">
        <f>transform!CO27</f>
        <v>1</v>
      </c>
      <c r="AG26" s="4">
        <f>transform!CP27</f>
        <v>2</v>
      </c>
      <c r="AH26" s="4">
        <f t="shared" si="6"/>
        <v>0</v>
      </c>
      <c r="AI26" s="4">
        <f t="shared" si="7"/>
        <v>1</v>
      </c>
      <c r="AJ26" s="4">
        <f t="shared" si="8"/>
        <v>3</v>
      </c>
      <c r="AK26" s="4">
        <f>transform!CQ27</f>
        <v>2</v>
      </c>
      <c r="AL26" s="4">
        <f t="shared" si="9"/>
        <v>1</v>
      </c>
      <c r="AM26" s="4">
        <f t="shared" si="10"/>
        <v>2</v>
      </c>
      <c r="AN26" s="4">
        <f t="shared" si="11"/>
        <v>1</v>
      </c>
      <c r="AO26" s="4">
        <f t="shared" si="12"/>
        <v>1</v>
      </c>
      <c r="AP26" s="4">
        <f t="shared" si="13"/>
        <v>1</v>
      </c>
      <c r="AQ26" s="4">
        <f t="shared" si="14"/>
        <v>2</v>
      </c>
      <c r="AR26" s="4">
        <f t="shared" si="15"/>
        <v>1</v>
      </c>
      <c r="AS26" s="4">
        <f t="shared" si="16"/>
        <v>1</v>
      </c>
      <c r="AT26" s="4">
        <f t="shared" si="17"/>
        <v>1</v>
      </c>
      <c r="AU26" s="4">
        <f t="shared" si="18"/>
        <v>2</v>
      </c>
      <c r="AV26" s="4">
        <f t="shared" si="19"/>
        <v>1</v>
      </c>
      <c r="AW26" s="4">
        <f t="shared" si="20"/>
        <v>1</v>
      </c>
      <c r="AX26" s="4">
        <f t="shared" si="21"/>
        <v>1</v>
      </c>
      <c r="AY26" s="4">
        <f t="shared" si="22"/>
        <v>1</v>
      </c>
      <c r="AZ26" s="4">
        <f t="shared" si="23"/>
        <v>1</v>
      </c>
      <c r="BA26" s="4">
        <f t="shared" si="24"/>
        <v>2</v>
      </c>
      <c r="BB26" s="4">
        <f t="shared" si="25"/>
        <v>1</v>
      </c>
      <c r="BC26" s="4">
        <f t="shared" si="26"/>
        <v>1</v>
      </c>
      <c r="BD26" s="4">
        <f t="shared" si="27"/>
        <v>1</v>
      </c>
      <c r="BE26" s="4">
        <f t="shared" si="28"/>
        <v>1</v>
      </c>
      <c r="BF26" s="4">
        <f t="shared" si="29"/>
        <v>1</v>
      </c>
      <c r="BG26" s="4">
        <f t="shared" si="30"/>
        <v>2</v>
      </c>
      <c r="BH26" s="4">
        <f t="shared" si="31"/>
        <v>1</v>
      </c>
      <c r="BI26" s="4">
        <f t="shared" si="32"/>
        <v>1</v>
      </c>
      <c r="BJ26" s="4">
        <f t="shared" si="33"/>
        <v>1</v>
      </c>
      <c r="BK26" s="4">
        <f t="shared" si="34"/>
        <v>1</v>
      </c>
      <c r="BL26" s="4">
        <f t="shared" si="35"/>
        <v>1</v>
      </c>
      <c r="BM26" s="4">
        <f t="shared" si="36"/>
        <v>2</v>
      </c>
      <c r="BN26" s="4">
        <f t="shared" si="37"/>
        <v>1</v>
      </c>
      <c r="BO26" s="4">
        <f t="shared" si="38"/>
        <v>1</v>
      </c>
    </row>
    <row r="27" spans="1:67">
      <c r="A27" s="4">
        <v>0</v>
      </c>
      <c r="B27" s="4">
        <f>transform!A28</f>
        <v>4</v>
      </c>
      <c r="C27" s="4">
        <f>transform!B28</f>
        <v>1</v>
      </c>
      <c r="D27" s="4">
        <f>transform!C28</f>
        <v>5</v>
      </c>
      <c r="E27" s="4">
        <f>transform!D28</f>
        <v>40876</v>
      </c>
      <c r="F27" s="4">
        <f>transform!E28</f>
        <v>2</v>
      </c>
      <c r="G27" s="4">
        <f>transform!F28</f>
        <v>1993</v>
      </c>
      <c r="H27" s="4">
        <f>transform!G28</f>
        <v>4</v>
      </c>
      <c r="I27" s="4">
        <f>transform!H28</f>
        <v>2</v>
      </c>
      <c r="J27" s="4">
        <f>COUNTIF(Raw!AR28:CA28,1)/(COUNTIF(Raw!AR28:CA28,1)+COUNTIF(Raw!AR28:CA28,0))</f>
        <v>0.238095238095238</v>
      </c>
      <c r="K27" s="15">
        <v>0</v>
      </c>
      <c r="L27" s="15">
        <v>0</v>
      </c>
      <c r="M27" s="15">
        <v>1</v>
      </c>
      <c r="N27" s="4">
        <f>transform!CC28</f>
        <v>1</v>
      </c>
      <c r="O27" s="4">
        <f>transform!CD28</f>
        <v>2</v>
      </c>
      <c r="P27" s="4">
        <f>transform!CE28</f>
        <v>1</v>
      </c>
      <c r="Q27" s="4">
        <f>transform!CF28</f>
        <v>2</v>
      </c>
      <c r="R27" s="4">
        <f>transform!CG28</f>
        <v>1</v>
      </c>
      <c r="S27" s="4">
        <f>transform!CH28</f>
        <v>2</v>
      </c>
      <c r="T27" s="4">
        <f>transform!CI28</f>
        <v>0</v>
      </c>
      <c r="U27" s="4">
        <f>transform!CJ28</f>
        <v>1</v>
      </c>
      <c r="V27" s="4">
        <f t="shared" si="0"/>
        <v>0</v>
      </c>
      <c r="W27" s="4">
        <f t="shared" si="1"/>
        <v>0</v>
      </c>
      <c r="X27" s="4">
        <f t="shared" si="2"/>
        <v>1</v>
      </c>
      <c r="Y27" s="4">
        <f>transform!CK28</f>
        <v>1</v>
      </c>
      <c r="Z27" s="4">
        <f>transform!CL28</f>
        <v>0</v>
      </c>
      <c r="AA27" s="4">
        <f>transform!CM28</f>
        <v>1</v>
      </c>
      <c r="AB27" s="4">
        <f t="shared" si="3"/>
        <v>0</v>
      </c>
      <c r="AC27" s="4">
        <f t="shared" si="4"/>
        <v>0</v>
      </c>
      <c r="AD27" s="4">
        <f t="shared" si="5"/>
        <v>1</v>
      </c>
      <c r="AE27" s="4">
        <f>transform!CN28</f>
        <v>1</v>
      </c>
      <c r="AF27" s="4">
        <f>transform!CO28</f>
        <v>0</v>
      </c>
      <c r="AG27" s="4">
        <f>transform!CP28</f>
        <v>1</v>
      </c>
      <c r="AH27" s="4">
        <f t="shared" si="6"/>
        <v>0</v>
      </c>
      <c r="AI27" s="4">
        <f t="shared" si="7"/>
        <v>0</v>
      </c>
      <c r="AJ27" s="4">
        <f t="shared" si="8"/>
        <v>1</v>
      </c>
      <c r="AK27" s="4">
        <f>transform!CQ28</f>
        <v>2</v>
      </c>
      <c r="AL27" s="4">
        <f t="shared" si="9"/>
        <v>1</v>
      </c>
      <c r="AM27" s="4">
        <f t="shared" si="10"/>
        <v>1</v>
      </c>
      <c r="AN27" s="4">
        <f t="shared" si="11"/>
        <v>2</v>
      </c>
      <c r="AO27" s="4">
        <f t="shared" si="12"/>
        <v>1</v>
      </c>
      <c r="AP27" s="4">
        <f t="shared" si="13"/>
        <v>1</v>
      </c>
      <c r="AQ27" s="4">
        <f t="shared" si="14"/>
        <v>1</v>
      </c>
      <c r="AR27" s="4">
        <f t="shared" si="15"/>
        <v>2</v>
      </c>
      <c r="AS27" s="4">
        <f t="shared" si="16"/>
        <v>1</v>
      </c>
      <c r="AT27" s="4">
        <f t="shared" si="17"/>
        <v>1</v>
      </c>
      <c r="AU27" s="4">
        <f t="shared" si="18"/>
        <v>1</v>
      </c>
      <c r="AV27" s="4">
        <f t="shared" si="19"/>
        <v>2</v>
      </c>
      <c r="AW27" s="4">
        <f t="shared" si="20"/>
        <v>1</v>
      </c>
      <c r="AX27" s="4">
        <f t="shared" si="21"/>
        <v>2</v>
      </c>
      <c r="AY27" s="4">
        <f t="shared" si="22"/>
        <v>1</v>
      </c>
      <c r="AZ27" s="4">
        <f t="shared" si="23"/>
        <v>1</v>
      </c>
      <c r="BA27" s="4">
        <f t="shared" si="24"/>
        <v>1</v>
      </c>
      <c r="BB27" s="4">
        <f t="shared" si="25"/>
        <v>1</v>
      </c>
      <c r="BC27" s="4">
        <f t="shared" si="26"/>
        <v>1</v>
      </c>
      <c r="BD27" s="4">
        <f t="shared" si="27"/>
        <v>2</v>
      </c>
      <c r="BE27" s="4">
        <f t="shared" si="28"/>
        <v>1</v>
      </c>
      <c r="BF27" s="4">
        <f t="shared" si="29"/>
        <v>1</v>
      </c>
      <c r="BG27" s="4">
        <f t="shared" si="30"/>
        <v>1</v>
      </c>
      <c r="BH27" s="4">
        <f t="shared" si="31"/>
        <v>1</v>
      </c>
      <c r="BI27" s="4">
        <f t="shared" si="32"/>
        <v>1</v>
      </c>
      <c r="BJ27" s="4">
        <f t="shared" si="33"/>
        <v>1</v>
      </c>
      <c r="BK27" s="4">
        <f t="shared" si="34"/>
        <v>2</v>
      </c>
      <c r="BL27" s="4">
        <f t="shared" si="35"/>
        <v>1</v>
      </c>
      <c r="BM27" s="4">
        <f t="shared" si="36"/>
        <v>1</v>
      </c>
      <c r="BN27" s="4">
        <f t="shared" si="37"/>
        <v>1</v>
      </c>
      <c r="BO27" s="4">
        <f t="shared" si="38"/>
        <v>1</v>
      </c>
    </row>
    <row r="28" spans="1:67">
      <c r="A28" s="4">
        <v>0</v>
      </c>
      <c r="B28" s="4">
        <f>transform!A29</f>
        <v>4</v>
      </c>
      <c r="C28" s="4">
        <f>transform!B29</f>
        <v>1</v>
      </c>
      <c r="D28" s="4">
        <f>transform!C29</f>
        <v>6</v>
      </c>
      <c r="E28" s="4">
        <f>transform!D29</f>
        <v>40876</v>
      </c>
      <c r="F28" s="4">
        <f>transform!E29</f>
        <v>2</v>
      </c>
      <c r="G28" s="4">
        <f>transform!F29</f>
        <v>1991</v>
      </c>
      <c r="H28" s="4">
        <f>transform!G29</f>
        <v>2</v>
      </c>
      <c r="I28" s="4">
        <f>transform!H29</f>
        <v>1</v>
      </c>
      <c r="J28" s="4">
        <f>COUNTIF(Raw!AR29:CA29,1)/(COUNTIF(Raw!AR29:CA29,1)+COUNTIF(Raw!AR29:CA29,0))</f>
        <v>0.428571428571429</v>
      </c>
      <c r="K28" s="15">
        <v>0</v>
      </c>
      <c r="L28" s="15">
        <v>0</v>
      </c>
      <c r="M28" s="15">
        <v>1</v>
      </c>
      <c r="N28" s="4">
        <f>transform!CC29</f>
        <v>2</v>
      </c>
      <c r="O28" s="4">
        <f>transform!CD29</f>
        <v>1</v>
      </c>
      <c r="P28" s="4">
        <f>transform!CE29</f>
        <v>2</v>
      </c>
      <c r="Q28" s="4">
        <f>transform!CF29</f>
        <v>1</v>
      </c>
      <c r="R28" s="4">
        <f>transform!CG29</f>
        <v>2</v>
      </c>
      <c r="S28" s="4">
        <f>transform!CH29</f>
        <v>1</v>
      </c>
      <c r="T28" s="4">
        <f>transform!CI29</f>
        <v>0</v>
      </c>
      <c r="U28" s="4">
        <f>transform!CJ29</f>
        <v>2</v>
      </c>
      <c r="V28" s="4">
        <f t="shared" si="0"/>
        <v>0</v>
      </c>
      <c r="W28" s="4">
        <f t="shared" si="1"/>
        <v>0</v>
      </c>
      <c r="X28" s="4">
        <f t="shared" si="2"/>
        <v>1</v>
      </c>
      <c r="Y28" s="4">
        <f>transform!CK29</f>
        <v>1</v>
      </c>
      <c r="Z28" s="4">
        <f>transform!CL29</f>
        <v>0</v>
      </c>
      <c r="AA28" s="4">
        <f>transform!CM29</f>
        <v>2</v>
      </c>
      <c r="AB28" s="4">
        <f t="shared" si="3"/>
        <v>0</v>
      </c>
      <c r="AC28" s="4">
        <f t="shared" si="4"/>
        <v>0</v>
      </c>
      <c r="AD28" s="4">
        <f t="shared" si="5"/>
        <v>1</v>
      </c>
      <c r="AE28" s="4">
        <f>transform!CN29</f>
        <v>1</v>
      </c>
      <c r="AF28" s="4">
        <f>transform!CO29</f>
        <v>0</v>
      </c>
      <c r="AG28" s="4">
        <f>transform!CP29</f>
        <v>2</v>
      </c>
      <c r="AH28" s="4">
        <f t="shared" si="6"/>
        <v>0</v>
      </c>
      <c r="AI28" s="4">
        <f t="shared" si="7"/>
        <v>0</v>
      </c>
      <c r="AJ28" s="4">
        <f t="shared" si="8"/>
        <v>1</v>
      </c>
      <c r="AK28" s="4">
        <f>transform!CQ29</f>
        <v>1</v>
      </c>
      <c r="AL28" s="4">
        <f t="shared" si="9"/>
        <v>1</v>
      </c>
      <c r="AM28" s="4">
        <f t="shared" si="10"/>
        <v>1</v>
      </c>
      <c r="AN28" s="4">
        <f t="shared" si="11"/>
        <v>1</v>
      </c>
      <c r="AO28" s="4">
        <f t="shared" si="12"/>
        <v>2</v>
      </c>
      <c r="AP28" s="4">
        <f t="shared" si="13"/>
        <v>1</v>
      </c>
      <c r="AQ28" s="4">
        <f t="shared" si="14"/>
        <v>1</v>
      </c>
      <c r="AR28" s="4">
        <f t="shared" si="15"/>
        <v>1</v>
      </c>
      <c r="AS28" s="4">
        <f t="shared" si="16"/>
        <v>2</v>
      </c>
      <c r="AT28" s="4">
        <f t="shared" si="17"/>
        <v>1</v>
      </c>
      <c r="AU28" s="4">
        <f t="shared" si="18"/>
        <v>1</v>
      </c>
      <c r="AV28" s="4">
        <f t="shared" si="19"/>
        <v>1</v>
      </c>
      <c r="AW28" s="4">
        <f t="shared" si="20"/>
        <v>2</v>
      </c>
      <c r="AX28" s="4">
        <f t="shared" si="21"/>
        <v>2</v>
      </c>
      <c r="AY28" s="4">
        <f t="shared" si="22"/>
        <v>1</v>
      </c>
      <c r="AZ28" s="4">
        <f t="shared" si="23"/>
        <v>1</v>
      </c>
      <c r="BA28" s="4">
        <f t="shared" si="24"/>
        <v>1</v>
      </c>
      <c r="BB28" s="4">
        <f t="shared" si="25"/>
        <v>1</v>
      </c>
      <c r="BC28" s="4">
        <f t="shared" si="26"/>
        <v>1</v>
      </c>
      <c r="BD28" s="4">
        <f t="shared" si="27"/>
        <v>2</v>
      </c>
      <c r="BE28" s="4">
        <f t="shared" si="28"/>
        <v>1</v>
      </c>
      <c r="BF28" s="4">
        <f t="shared" si="29"/>
        <v>1</v>
      </c>
      <c r="BG28" s="4">
        <f t="shared" si="30"/>
        <v>1</v>
      </c>
      <c r="BH28" s="4">
        <f t="shared" si="31"/>
        <v>1</v>
      </c>
      <c r="BI28" s="4">
        <f t="shared" si="32"/>
        <v>1</v>
      </c>
      <c r="BJ28" s="4">
        <f t="shared" si="33"/>
        <v>2</v>
      </c>
      <c r="BK28" s="4">
        <f t="shared" si="34"/>
        <v>1</v>
      </c>
      <c r="BL28" s="4">
        <f t="shared" si="35"/>
        <v>1</v>
      </c>
      <c r="BM28" s="4">
        <f t="shared" si="36"/>
        <v>1</v>
      </c>
      <c r="BN28" s="4">
        <f t="shared" si="37"/>
        <v>1</v>
      </c>
      <c r="BO28" s="4">
        <f t="shared" si="38"/>
        <v>1</v>
      </c>
    </row>
    <row r="29" spans="1:67">
      <c r="A29" s="4">
        <v>0</v>
      </c>
      <c r="B29" s="4">
        <f>transform!A30</f>
        <v>4</v>
      </c>
      <c r="C29" s="4">
        <f>transform!B30</f>
        <v>1</v>
      </c>
      <c r="D29" s="4">
        <f>transform!C30</f>
        <v>7</v>
      </c>
      <c r="E29" s="4">
        <f>transform!D30</f>
        <v>40876</v>
      </c>
      <c r="F29" s="4">
        <f>transform!E30</f>
        <v>2</v>
      </c>
      <c r="G29" s="4">
        <f>transform!F30</f>
        <v>1993</v>
      </c>
      <c r="H29" s="4">
        <f>transform!G30</f>
        <v>1</v>
      </c>
      <c r="I29" s="4">
        <f>transform!H30</f>
        <v>1</v>
      </c>
      <c r="J29" s="4">
        <f>COUNTIF(Raw!AR30:CA30,1)/(COUNTIF(Raw!AR30:CA30,1)+COUNTIF(Raw!AR30:CA30,0))</f>
        <v>1</v>
      </c>
      <c r="K29" s="15">
        <v>0</v>
      </c>
      <c r="L29" s="15">
        <v>1</v>
      </c>
      <c r="M29" s="15">
        <v>1</v>
      </c>
      <c r="N29" s="4">
        <f>transform!CC30</f>
        <v>2</v>
      </c>
      <c r="O29" s="4">
        <f>transform!CD30</f>
        <v>2</v>
      </c>
      <c r="P29" s="4">
        <f>transform!CE30</f>
        <v>2</v>
      </c>
      <c r="Q29" s="4">
        <f>transform!CF30</f>
        <v>2</v>
      </c>
      <c r="R29" s="4">
        <f>transform!CG30</f>
        <v>2</v>
      </c>
      <c r="S29" s="4">
        <f>transform!CH30</f>
        <v>2</v>
      </c>
      <c r="T29" s="4">
        <f>transform!CI30</f>
        <v>1</v>
      </c>
      <c r="U29" s="4">
        <f>transform!CJ30</f>
        <v>2</v>
      </c>
      <c r="V29" s="4">
        <f t="shared" si="0"/>
        <v>0</v>
      </c>
      <c r="W29" s="4">
        <f t="shared" si="1"/>
        <v>1</v>
      </c>
      <c r="X29" s="4">
        <f t="shared" si="2"/>
        <v>3</v>
      </c>
      <c r="Y29" s="4">
        <f>transform!CK30</f>
        <v>2</v>
      </c>
      <c r="Z29" s="4">
        <f>transform!CL30</f>
        <v>0</v>
      </c>
      <c r="AA29" s="4">
        <f>transform!CM30</f>
        <v>2</v>
      </c>
      <c r="AB29" s="4">
        <f t="shared" si="3"/>
        <v>0</v>
      </c>
      <c r="AC29" s="4">
        <f t="shared" si="4"/>
        <v>0</v>
      </c>
      <c r="AD29" s="4">
        <f t="shared" si="5"/>
        <v>1</v>
      </c>
      <c r="AE29" s="4">
        <f>transform!CN30</f>
        <v>2</v>
      </c>
      <c r="AF29" s="4">
        <f>transform!CO30</f>
        <v>0</v>
      </c>
      <c r="AG29" s="4">
        <f>transform!CP30</f>
        <v>2</v>
      </c>
      <c r="AH29" s="4">
        <f t="shared" si="6"/>
        <v>0</v>
      </c>
      <c r="AI29" s="4">
        <f t="shared" si="7"/>
        <v>0</v>
      </c>
      <c r="AJ29" s="4">
        <f t="shared" si="8"/>
        <v>1</v>
      </c>
      <c r="AK29" s="4">
        <f>transform!CQ30</f>
        <v>2</v>
      </c>
      <c r="AL29" s="4">
        <f t="shared" si="9"/>
        <v>1</v>
      </c>
      <c r="AM29" s="4">
        <f t="shared" si="10"/>
        <v>2</v>
      </c>
      <c r="AN29" s="4">
        <f t="shared" si="11"/>
        <v>1</v>
      </c>
      <c r="AO29" s="4">
        <f t="shared" si="12"/>
        <v>1</v>
      </c>
      <c r="AP29" s="4">
        <f t="shared" si="13"/>
        <v>1</v>
      </c>
      <c r="AQ29" s="4">
        <f t="shared" si="14"/>
        <v>2</v>
      </c>
      <c r="AR29" s="4">
        <f t="shared" si="15"/>
        <v>1</v>
      </c>
      <c r="AS29" s="4">
        <f t="shared" si="16"/>
        <v>1</v>
      </c>
      <c r="AT29" s="4">
        <f t="shared" si="17"/>
        <v>1</v>
      </c>
      <c r="AU29" s="4">
        <f t="shared" si="18"/>
        <v>2</v>
      </c>
      <c r="AV29" s="4">
        <f t="shared" si="19"/>
        <v>1</v>
      </c>
      <c r="AW29" s="4">
        <f t="shared" si="20"/>
        <v>1</v>
      </c>
      <c r="AX29" s="4">
        <f t="shared" si="21"/>
        <v>1</v>
      </c>
      <c r="AY29" s="4">
        <f t="shared" si="22"/>
        <v>1</v>
      </c>
      <c r="AZ29" s="4">
        <f t="shared" si="23"/>
        <v>1</v>
      </c>
      <c r="BA29" s="4">
        <f t="shared" si="24"/>
        <v>2</v>
      </c>
      <c r="BB29" s="4">
        <f t="shared" si="25"/>
        <v>1</v>
      </c>
      <c r="BC29" s="4">
        <f t="shared" si="26"/>
        <v>1</v>
      </c>
      <c r="BD29" s="4">
        <f t="shared" si="27"/>
        <v>1</v>
      </c>
      <c r="BE29" s="4">
        <f t="shared" si="28"/>
        <v>2</v>
      </c>
      <c r="BF29" s="4">
        <f t="shared" si="29"/>
        <v>1</v>
      </c>
      <c r="BG29" s="4">
        <f t="shared" si="30"/>
        <v>1</v>
      </c>
      <c r="BH29" s="4">
        <f t="shared" si="31"/>
        <v>1</v>
      </c>
      <c r="BI29" s="4">
        <f t="shared" si="32"/>
        <v>1</v>
      </c>
      <c r="BJ29" s="4">
        <f t="shared" si="33"/>
        <v>1</v>
      </c>
      <c r="BK29" s="4">
        <f t="shared" si="34"/>
        <v>2</v>
      </c>
      <c r="BL29" s="4">
        <f t="shared" si="35"/>
        <v>1</v>
      </c>
      <c r="BM29" s="4">
        <f t="shared" si="36"/>
        <v>1</v>
      </c>
      <c r="BN29" s="4">
        <f t="shared" si="37"/>
        <v>1</v>
      </c>
      <c r="BO29" s="4">
        <f t="shared" si="38"/>
        <v>1</v>
      </c>
    </row>
    <row r="30" spans="1:67">
      <c r="A30" s="4">
        <v>0</v>
      </c>
      <c r="B30" s="4">
        <f>transform!A31</f>
        <v>4</v>
      </c>
      <c r="C30" s="4">
        <f>transform!B31</f>
        <v>1</v>
      </c>
      <c r="D30" s="4">
        <f>transform!C31</f>
        <v>8</v>
      </c>
      <c r="E30" s="4">
        <f>transform!D31</f>
        <v>40876</v>
      </c>
      <c r="F30" s="4">
        <f>transform!E31</f>
        <v>2</v>
      </c>
      <c r="G30" s="4">
        <f>transform!F31</f>
        <v>1993</v>
      </c>
      <c r="H30" s="4">
        <f>transform!G31</f>
        <v>1</v>
      </c>
      <c r="I30" s="4">
        <f>transform!H31</f>
        <v>1</v>
      </c>
      <c r="J30" s="4">
        <f>COUNTIF(Raw!AR31:CA31,1)/(COUNTIF(Raw!AR31:CA31,1)+COUNTIF(Raw!AR31:CA31,0))</f>
        <v>0.05</v>
      </c>
      <c r="K30" s="15">
        <v>0</v>
      </c>
      <c r="L30" s="15">
        <v>0</v>
      </c>
      <c r="M30" s="15">
        <v>1</v>
      </c>
      <c r="N30" s="4">
        <f>transform!CC31</f>
        <v>1</v>
      </c>
      <c r="O30" s="4">
        <f>transform!CD31</f>
        <v>2</v>
      </c>
      <c r="P30" s="4">
        <f>transform!CE31</f>
        <v>1</v>
      </c>
      <c r="Q30" s="4">
        <f>transform!CF31</f>
        <v>2</v>
      </c>
      <c r="R30" s="4">
        <f>transform!CG31</f>
        <v>1</v>
      </c>
      <c r="S30" s="4">
        <f>transform!CH31</f>
        <v>2</v>
      </c>
      <c r="T30" s="4">
        <f>transform!CI31</f>
        <v>0</v>
      </c>
      <c r="U30" s="4">
        <f>transform!CJ31</f>
        <v>1</v>
      </c>
      <c r="V30" s="4">
        <f t="shared" si="0"/>
        <v>0</v>
      </c>
      <c r="W30" s="4">
        <f t="shared" si="1"/>
        <v>0</v>
      </c>
      <c r="X30" s="4">
        <f t="shared" si="2"/>
        <v>1</v>
      </c>
      <c r="Y30" s="4">
        <f>transform!CK31</f>
        <v>2</v>
      </c>
      <c r="Z30" s="4">
        <f>transform!CL31</f>
        <v>0</v>
      </c>
      <c r="AA30" s="4">
        <f>transform!CM31</f>
        <v>1</v>
      </c>
      <c r="AB30" s="4">
        <f t="shared" si="3"/>
        <v>0</v>
      </c>
      <c r="AC30" s="4">
        <f t="shared" si="4"/>
        <v>0</v>
      </c>
      <c r="AD30" s="4">
        <f t="shared" si="5"/>
        <v>1</v>
      </c>
      <c r="AE30" s="4">
        <f>transform!CN31</f>
        <v>2</v>
      </c>
      <c r="AF30" s="4">
        <f>transform!CO31</f>
        <v>0</v>
      </c>
      <c r="AG30" s="4">
        <f>transform!CP31</f>
        <v>1</v>
      </c>
      <c r="AH30" s="4">
        <f t="shared" si="6"/>
        <v>0</v>
      </c>
      <c r="AI30" s="4">
        <f t="shared" si="7"/>
        <v>0</v>
      </c>
      <c r="AJ30" s="4">
        <f t="shared" si="8"/>
        <v>1</v>
      </c>
      <c r="AK30" s="4">
        <f>transform!CQ31</f>
        <v>2</v>
      </c>
      <c r="AL30" s="4">
        <f t="shared" si="9"/>
        <v>1</v>
      </c>
      <c r="AM30" s="4">
        <f t="shared" si="10"/>
        <v>1</v>
      </c>
      <c r="AN30" s="4">
        <f t="shared" si="11"/>
        <v>2</v>
      </c>
      <c r="AO30" s="4">
        <f t="shared" si="12"/>
        <v>1</v>
      </c>
      <c r="AP30" s="4">
        <f t="shared" si="13"/>
        <v>1</v>
      </c>
      <c r="AQ30" s="4">
        <f t="shared" si="14"/>
        <v>1</v>
      </c>
      <c r="AR30" s="4">
        <f t="shared" si="15"/>
        <v>2</v>
      </c>
      <c r="AS30" s="4">
        <f t="shared" si="16"/>
        <v>1</v>
      </c>
      <c r="AT30" s="4">
        <f t="shared" si="17"/>
        <v>1</v>
      </c>
      <c r="AU30" s="4">
        <f t="shared" si="18"/>
        <v>1</v>
      </c>
      <c r="AV30" s="4">
        <f t="shared" si="19"/>
        <v>2</v>
      </c>
      <c r="AW30" s="4">
        <f t="shared" si="20"/>
        <v>1</v>
      </c>
      <c r="AX30" s="4">
        <f t="shared" si="21"/>
        <v>1</v>
      </c>
      <c r="AY30" s="4">
        <f t="shared" si="22"/>
        <v>2</v>
      </c>
      <c r="AZ30" s="4">
        <f t="shared" si="23"/>
        <v>1</v>
      </c>
      <c r="BA30" s="4">
        <f t="shared" si="24"/>
        <v>1</v>
      </c>
      <c r="BB30" s="4">
        <f t="shared" si="25"/>
        <v>1</v>
      </c>
      <c r="BC30" s="4">
        <f t="shared" si="26"/>
        <v>1</v>
      </c>
      <c r="BD30" s="4">
        <f t="shared" si="27"/>
        <v>1</v>
      </c>
      <c r="BE30" s="4">
        <f t="shared" si="28"/>
        <v>2</v>
      </c>
      <c r="BF30" s="4">
        <f t="shared" si="29"/>
        <v>1</v>
      </c>
      <c r="BG30" s="4">
        <f t="shared" si="30"/>
        <v>1</v>
      </c>
      <c r="BH30" s="4">
        <f t="shared" si="31"/>
        <v>1</v>
      </c>
      <c r="BI30" s="4">
        <f t="shared" si="32"/>
        <v>1</v>
      </c>
      <c r="BJ30" s="4">
        <f t="shared" si="33"/>
        <v>1</v>
      </c>
      <c r="BK30" s="4">
        <f t="shared" si="34"/>
        <v>2</v>
      </c>
      <c r="BL30" s="4">
        <f t="shared" si="35"/>
        <v>1</v>
      </c>
      <c r="BM30" s="4">
        <f t="shared" si="36"/>
        <v>1</v>
      </c>
      <c r="BN30" s="4">
        <f t="shared" si="37"/>
        <v>1</v>
      </c>
      <c r="BO30" s="4">
        <f t="shared" si="38"/>
        <v>1</v>
      </c>
    </row>
    <row r="31" spans="1:67">
      <c r="A31" s="4">
        <v>0</v>
      </c>
      <c r="B31" s="4">
        <f>transform!A32</f>
        <v>5</v>
      </c>
      <c r="C31" s="4">
        <f>transform!B32</f>
        <v>1</v>
      </c>
      <c r="D31" s="4">
        <f>transform!C32</f>
        <v>1</v>
      </c>
      <c r="E31" s="4">
        <f>transform!D32</f>
        <v>40876</v>
      </c>
      <c r="F31" s="4">
        <f>transform!E32</f>
        <v>2</v>
      </c>
      <c r="G31" s="4">
        <f>transform!F32</f>
        <v>1990</v>
      </c>
      <c r="H31" s="4">
        <f>transform!G32</f>
        <v>4</v>
      </c>
      <c r="I31" s="4">
        <f>transform!H32</f>
        <v>1</v>
      </c>
      <c r="J31" s="4">
        <f>COUNTIF(Raw!AR32:CA32,1)/(COUNTIF(Raw!AR32:CA32,1)+COUNTIF(Raw!AR32:CA32,0))</f>
        <v>0.133333333333333</v>
      </c>
      <c r="K31" s="15">
        <v>0.333333333333333</v>
      </c>
      <c r="L31" s="15">
        <v>0</v>
      </c>
      <c r="M31" s="15">
        <v>1</v>
      </c>
      <c r="N31" s="4">
        <f>transform!CC32</f>
        <v>2</v>
      </c>
      <c r="O31" s="4">
        <f>transform!CD32</f>
        <v>2</v>
      </c>
      <c r="P31" s="4">
        <f>transform!CE32</f>
        <v>2</v>
      </c>
      <c r="Q31" s="4">
        <f>transform!CF32</f>
        <v>2</v>
      </c>
      <c r="R31" s="4">
        <f>transform!CG32</f>
        <v>2</v>
      </c>
      <c r="S31" s="4">
        <f>transform!CH32</f>
        <v>2</v>
      </c>
      <c r="T31" s="4">
        <f>transform!CI32</f>
        <v>1</v>
      </c>
      <c r="U31" s="4">
        <f>transform!CJ32</f>
        <v>2</v>
      </c>
      <c r="V31" s="4">
        <f t="shared" si="0"/>
        <v>0</v>
      </c>
      <c r="W31" s="4">
        <f t="shared" si="1"/>
        <v>1</v>
      </c>
      <c r="X31" s="4">
        <f t="shared" si="2"/>
        <v>3</v>
      </c>
      <c r="Y31" s="4">
        <f>transform!CK32</f>
        <v>2</v>
      </c>
      <c r="Z31" s="4">
        <f>transform!CL32</f>
        <v>1</v>
      </c>
      <c r="AA31" s="4">
        <f>transform!CM32</f>
        <v>2</v>
      </c>
      <c r="AB31" s="4">
        <f t="shared" si="3"/>
        <v>0</v>
      </c>
      <c r="AC31" s="4">
        <f t="shared" si="4"/>
        <v>1</v>
      </c>
      <c r="AD31" s="4">
        <f t="shared" si="5"/>
        <v>3</v>
      </c>
      <c r="AE31" s="4">
        <f>transform!CN32</f>
        <v>2</v>
      </c>
      <c r="AF31" s="4">
        <f>transform!CO32</f>
        <v>0</v>
      </c>
      <c r="AG31" s="4">
        <f>transform!CP32</f>
        <v>2</v>
      </c>
      <c r="AH31" s="4">
        <f t="shared" si="6"/>
        <v>0</v>
      </c>
      <c r="AI31" s="4">
        <f t="shared" si="7"/>
        <v>0</v>
      </c>
      <c r="AJ31" s="4">
        <f t="shared" si="8"/>
        <v>1</v>
      </c>
      <c r="AK31" s="4">
        <f>transform!CQ32</f>
        <v>2</v>
      </c>
      <c r="AL31" s="4">
        <f t="shared" si="9"/>
        <v>1</v>
      </c>
      <c r="AM31" s="4">
        <f t="shared" si="10"/>
        <v>2</v>
      </c>
      <c r="AN31" s="4">
        <f t="shared" si="11"/>
        <v>1</v>
      </c>
      <c r="AO31" s="4">
        <f t="shared" si="12"/>
        <v>1</v>
      </c>
      <c r="AP31" s="4">
        <f t="shared" si="13"/>
        <v>1</v>
      </c>
      <c r="AQ31" s="4">
        <f t="shared" si="14"/>
        <v>2</v>
      </c>
      <c r="AR31" s="4">
        <f t="shared" si="15"/>
        <v>1</v>
      </c>
      <c r="AS31" s="4">
        <f t="shared" si="16"/>
        <v>1</v>
      </c>
      <c r="AT31" s="4">
        <f t="shared" si="17"/>
        <v>1</v>
      </c>
      <c r="AU31" s="4">
        <f t="shared" si="18"/>
        <v>2</v>
      </c>
      <c r="AV31" s="4">
        <f t="shared" si="19"/>
        <v>1</v>
      </c>
      <c r="AW31" s="4">
        <f t="shared" si="20"/>
        <v>1</v>
      </c>
      <c r="AX31" s="4">
        <f t="shared" si="21"/>
        <v>1</v>
      </c>
      <c r="AY31" s="4">
        <f t="shared" si="22"/>
        <v>1</v>
      </c>
      <c r="AZ31" s="4">
        <f t="shared" si="23"/>
        <v>1</v>
      </c>
      <c r="BA31" s="4">
        <f t="shared" si="24"/>
        <v>2</v>
      </c>
      <c r="BB31" s="4">
        <f t="shared" si="25"/>
        <v>1</v>
      </c>
      <c r="BC31" s="4">
        <f t="shared" si="26"/>
        <v>1</v>
      </c>
      <c r="BD31" s="4">
        <f t="shared" si="27"/>
        <v>1</v>
      </c>
      <c r="BE31" s="4">
        <f t="shared" si="28"/>
        <v>1</v>
      </c>
      <c r="BF31" s="4">
        <f t="shared" si="29"/>
        <v>1</v>
      </c>
      <c r="BG31" s="4">
        <f t="shared" si="30"/>
        <v>2</v>
      </c>
      <c r="BH31" s="4">
        <f t="shared" si="31"/>
        <v>1</v>
      </c>
      <c r="BI31" s="4">
        <f t="shared" si="32"/>
        <v>1</v>
      </c>
      <c r="BJ31" s="4">
        <f t="shared" si="33"/>
        <v>1</v>
      </c>
      <c r="BK31" s="4">
        <f t="shared" si="34"/>
        <v>2</v>
      </c>
      <c r="BL31" s="4">
        <f t="shared" si="35"/>
        <v>1</v>
      </c>
      <c r="BM31" s="4">
        <f t="shared" si="36"/>
        <v>1</v>
      </c>
      <c r="BN31" s="4">
        <f t="shared" si="37"/>
        <v>1</v>
      </c>
      <c r="BO31" s="4">
        <f t="shared" si="38"/>
        <v>1</v>
      </c>
    </row>
    <row r="32" spans="1:67">
      <c r="A32" s="4">
        <v>0</v>
      </c>
      <c r="B32" s="4">
        <f>transform!A33</f>
        <v>5</v>
      </c>
      <c r="C32" s="4">
        <f>transform!B33</f>
        <v>1</v>
      </c>
      <c r="D32" s="4">
        <f>transform!C33</f>
        <v>2</v>
      </c>
      <c r="E32" s="4">
        <f>transform!D33</f>
        <v>40876</v>
      </c>
      <c r="F32" s="4">
        <f>transform!E33</f>
        <v>2</v>
      </c>
      <c r="G32" s="4">
        <f>transform!F33</f>
        <v>1989</v>
      </c>
      <c r="H32" s="4">
        <f>transform!G33</f>
        <v>4</v>
      </c>
      <c r="I32" s="4">
        <f>transform!H33</f>
        <v>1</v>
      </c>
      <c r="J32" s="4">
        <f>COUNTIF(Raw!AR33:CA33,1)/(COUNTIF(Raw!AR33:CA33,1)+COUNTIF(Raw!AR33:CA33,0))</f>
        <v>0.2</v>
      </c>
      <c r="K32" s="15">
        <v>0</v>
      </c>
      <c r="L32" s="15">
        <v>1</v>
      </c>
      <c r="M32" s="15">
        <v>0</v>
      </c>
      <c r="N32" s="4">
        <f>transform!CC33</f>
        <v>2</v>
      </c>
      <c r="O32" s="4">
        <f>transform!CD33</f>
        <v>2</v>
      </c>
      <c r="P32" s="4">
        <f>transform!CE33</f>
        <v>1</v>
      </c>
      <c r="Q32" s="4">
        <f>transform!CF33</f>
        <v>2</v>
      </c>
      <c r="R32" s="4">
        <f>transform!CG33</f>
        <v>2</v>
      </c>
      <c r="S32" s="4">
        <f>transform!CH33</f>
        <v>1</v>
      </c>
      <c r="T32" s="4">
        <f>transform!CI33</f>
        <v>1</v>
      </c>
      <c r="U32" s="4">
        <f>transform!CJ33</f>
        <v>1</v>
      </c>
      <c r="V32" s="4">
        <f t="shared" si="0"/>
        <v>1</v>
      </c>
      <c r="W32" s="4">
        <f t="shared" si="1"/>
        <v>0</v>
      </c>
      <c r="X32" s="4">
        <f t="shared" si="2"/>
        <v>2</v>
      </c>
      <c r="Y32" s="4">
        <f>transform!CK33</f>
        <v>1</v>
      </c>
      <c r="Z32" s="4">
        <f>transform!CL33</f>
        <v>1</v>
      </c>
      <c r="AA32" s="4">
        <f>transform!CM33</f>
        <v>2</v>
      </c>
      <c r="AB32" s="4">
        <f t="shared" si="3"/>
        <v>0</v>
      </c>
      <c r="AC32" s="4">
        <f t="shared" si="4"/>
        <v>1</v>
      </c>
      <c r="AD32" s="4">
        <f t="shared" si="5"/>
        <v>3</v>
      </c>
      <c r="AE32" s="4">
        <f>transform!CN33</f>
        <v>2</v>
      </c>
      <c r="AF32" s="4">
        <f>transform!CO33</f>
        <v>0</v>
      </c>
      <c r="AG32" s="4">
        <f>transform!CP33</f>
        <v>1</v>
      </c>
      <c r="AH32" s="4">
        <f t="shared" si="6"/>
        <v>0</v>
      </c>
      <c r="AI32" s="4">
        <f t="shared" si="7"/>
        <v>0</v>
      </c>
      <c r="AJ32" s="4">
        <f t="shared" si="8"/>
        <v>1</v>
      </c>
      <c r="AK32" s="4">
        <f>transform!CQ33</f>
        <v>2</v>
      </c>
      <c r="AL32" s="4">
        <f t="shared" si="9"/>
        <v>1</v>
      </c>
      <c r="AM32" s="4">
        <f t="shared" si="10"/>
        <v>2</v>
      </c>
      <c r="AN32" s="4">
        <f t="shared" si="11"/>
        <v>1</v>
      </c>
      <c r="AO32" s="4">
        <f t="shared" si="12"/>
        <v>1</v>
      </c>
      <c r="AP32" s="4">
        <f t="shared" si="13"/>
        <v>1</v>
      </c>
      <c r="AQ32" s="4">
        <f t="shared" si="14"/>
        <v>1</v>
      </c>
      <c r="AR32" s="4">
        <f t="shared" si="15"/>
        <v>2</v>
      </c>
      <c r="AS32" s="4">
        <f t="shared" si="16"/>
        <v>1</v>
      </c>
      <c r="AT32" s="4">
        <f t="shared" si="17"/>
        <v>1</v>
      </c>
      <c r="AU32" s="4">
        <f t="shared" si="18"/>
        <v>1</v>
      </c>
      <c r="AV32" s="4">
        <f t="shared" si="19"/>
        <v>1</v>
      </c>
      <c r="AW32" s="4">
        <f t="shared" si="20"/>
        <v>2</v>
      </c>
      <c r="AX32" s="4">
        <f t="shared" si="21"/>
        <v>1</v>
      </c>
      <c r="AY32" s="4">
        <f t="shared" si="22"/>
        <v>1</v>
      </c>
      <c r="AZ32" s="4">
        <f t="shared" si="23"/>
        <v>2</v>
      </c>
      <c r="BA32" s="4">
        <f t="shared" si="24"/>
        <v>1</v>
      </c>
      <c r="BB32" s="4">
        <f t="shared" si="25"/>
        <v>1</v>
      </c>
      <c r="BC32" s="4">
        <f t="shared" si="26"/>
        <v>1</v>
      </c>
      <c r="BD32" s="4">
        <f t="shared" si="27"/>
        <v>1</v>
      </c>
      <c r="BE32" s="4">
        <f t="shared" si="28"/>
        <v>1</v>
      </c>
      <c r="BF32" s="4">
        <f t="shared" si="29"/>
        <v>1</v>
      </c>
      <c r="BG32" s="4">
        <f t="shared" si="30"/>
        <v>2</v>
      </c>
      <c r="BH32" s="4">
        <f t="shared" si="31"/>
        <v>1</v>
      </c>
      <c r="BI32" s="4">
        <f t="shared" si="32"/>
        <v>1</v>
      </c>
      <c r="BJ32" s="4">
        <f t="shared" si="33"/>
        <v>1</v>
      </c>
      <c r="BK32" s="4">
        <f t="shared" si="34"/>
        <v>2</v>
      </c>
      <c r="BL32" s="4">
        <f t="shared" si="35"/>
        <v>1</v>
      </c>
      <c r="BM32" s="4">
        <f t="shared" si="36"/>
        <v>1</v>
      </c>
      <c r="BN32" s="4">
        <f t="shared" si="37"/>
        <v>1</v>
      </c>
      <c r="BO32" s="4">
        <f t="shared" si="38"/>
        <v>1</v>
      </c>
    </row>
    <row r="33" spans="1:67">
      <c r="A33" s="4">
        <v>0</v>
      </c>
      <c r="B33" s="4">
        <f>transform!A34</f>
        <v>5</v>
      </c>
      <c r="C33" s="4">
        <f>transform!B34</f>
        <v>1</v>
      </c>
      <c r="D33" s="4">
        <f>transform!C34</f>
        <v>3</v>
      </c>
      <c r="E33" s="4">
        <f>transform!D34</f>
        <v>40876</v>
      </c>
      <c r="F33" s="4">
        <f>transform!E34</f>
        <v>2</v>
      </c>
      <c r="G33" s="4">
        <f>transform!F34</f>
        <v>1987</v>
      </c>
      <c r="H33" s="4">
        <f>transform!G34</f>
        <v>4</v>
      </c>
      <c r="I33" s="4">
        <f>transform!H34</f>
        <v>1</v>
      </c>
      <c r="J33" s="4">
        <f>COUNTIF(Raw!AR34:CA34,1)/(COUNTIF(Raw!AR34:CA34,1)+COUNTIF(Raw!AR34:CA34,0))</f>
        <v>0.0666666666666667</v>
      </c>
      <c r="K33" s="15">
        <v>0.166666666666667</v>
      </c>
      <c r="L33" s="15">
        <v>0</v>
      </c>
      <c r="M33" s="15">
        <v>1</v>
      </c>
      <c r="N33" s="4">
        <f>transform!CC34</f>
        <v>2</v>
      </c>
      <c r="O33" s="4">
        <f>transform!CD34</f>
        <v>2</v>
      </c>
      <c r="P33" s="4">
        <f>transform!CE34</f>
        <v>1</v>
      </c>
      <c r="Q33" s="4">
        <f>transform!CF34</f>
        <v>2</v>
      </c>
      <c r="R33" s="4">
        <f>transform!CG34</f>
        <v>1</v>
      </c>
      <c r="S33" s="4">
        <f>transform!CH34</f>
        <v>2</v>
      </c>
      <c r="T33" s="4">
        <f>transform!CI34</f>
        <v>0</v>
      </c>
      <c r="U33" s="4">
        <f>transform!CJ34</f>
        <v>2</v>
      </c>
      <c r="V33" s="4">
        <f t="shared" si="0"/>
        <v>0</v>
      </c>
      <c r="W33" s="4">
        <f t="shared" si="1"/>
        <v>0</v>
      </c>
      <c r="X33" s="4">
        <f t="shared" si="2"/>
        <v>1</v>
      </c>
      <c r="Y33" s="4">
        <f>transform!CK34</f>
        <v>2</v>
      </c>
      <c r="Z33" s="4">
        <f>transform!CL34</f>
        <v>0</v>
      </c>
      <c r="AA33" s="4">
        <f>transform!CM34</f>
        <v>1</v>
      </c>
      <c r="AB33" s="4">
        <f t="shared" si="3"/>
        <v>0</v>
      </c>
      <c r="AC33" s="4">
        <f t="shared" si="4"/>
        <v>0</v>
      </c>
      <c r="AD33" s="4">
        <f t="shared" si="5"/>
        <v>1</v>
      </c>
      <c r="AE33" s="4">
        <f>transform!CN34</f>
        <v>2</v>
      </c>
      <c r="AF33" s="4">
        <f>transform!CO34</f>
        <v>0</v>
      </c>
      <c r="AG33" s="4">
        <f>transform!CP34</f>
        <v>1</v>
      </c>
      <c r="AH33" s="4">
        <f t="shared" si="6"/>
        <v>0</v>
      </c>
      <c r="AI33" s="4">
        <f t="shared" si="7"/>
        <v>0</v>
      </c>
      <c r="AJ33" s="4">
        <f t="shared" si="8"/>
        <v>1</v>
      </c>
      <c r="AK33" s="4">
        <f>transform!CQ34</f>
        <v>2</v>
      </c>
      <c r="AL33" s="4">
        <f t="shared" si="9"/>
        <v>1</v>
      </c>
      <c r="AM33" s="4">
        <f t="shared" si="10"/>
        <v>2</v>
      </c>
      <c r="AN33" s="4">
        <f t="shared" si="11"/>
        <v>1</v>
      </c>
      <c r="AO33" s="4">
        <f t="shared" si="12"/>
        <v>1</v>
      </c>
      <c r="AP33" s="4">
        <f t="shared" si="13"/>
        <v>1</v>
      </c>
      <c r="AQ33" s="4">
        <f t="shared" si="14"/>
        <v>1</v>
      </c>
      <c r="AR33" s="4">
        <f t="shared" si="15"/>
        <v>2</v>
      </c>
      <c r="AS33" s="4">
        <f t="shared" si="16"/>
        <v>1</v>
      </c>
      <c r="AT33" s="4">
        <f t="shared" si="17"/>
        <v>1</v>
      </c>
      <c r="AU33" s="4">
        <f t="shared" si="18"/>
        <v>1</v>
      </c>
      <c r="AV33" s="4">
        <f t="shared" si="19"/>
        <v>2</v>
      </c>
      <c r="AW33" s="4">
        <f t="shared" si="20"/>
        <v>1</v>
      </c>
      <c r="AX33" s="4">
        <f t="shared" si="21"/>
        <v>1</v>
      </c>
      <c r="AY33" s="4">
        <f t="shared" si="22"/>
        <v>2</v>
      </c>
      <c r="AZ33" s="4">
        <f t="shared" si="23"/>
        <v>1</v>
      </c>
      <c r="BA33" s="4">
        <f t="shared" si="24"/>
        <v>1</v>
      </c>
      <c r="BB33" s="4">
        <f t="shared" si="25"/>
        <v>1</v>
      </c>
      <c r="BC33" s="4">
        <f t="shared" si="26"/>
        <v>1</v>
      </c>
      <c r="BD33" s="4">
        <f t="shared" si="27"/>
        <v>1</v>
      </c>
      <c r="BE33" s="4">
        <f t="shared" si="28"/>
        <v>2</v>
      </c>
      <c r="BF33" s="4">
        <f t="shared" si="29"/>
        <v>1</v>
      </c>
      <c r="BG33" s="4">
        <f t="shared" si="30"/>
        <v>1</v>
      </c>
      <c r="BH33" s="4">
        <f t="shared" si="31"/>
        <v>1</v>
      </c>
      <c r="BI33" s="4">
        <f t="shared" si="32"/>
        <v>1</v>
      </c>
      <c r="BJ33" s="4">
        <f t="shared" si="33"/>
        <v>1</v>
      </c>
      <c r="BK33" s="4">
        <f t="shared" si="34"/>
        <v>2</v>
      </c>
      <c r="BL33" s="4">
        <f t="shared" si="35"/>
        <v>1</v>
      </c>
      <c r="BM33" s="4">
        <f t="shared" si="36"/>
        <v>1</v>
      </c>
      <c r="BN33" s="4">
        <f t="shared" si="37"/>
        <v>1</v>
      </c>
      <c r="BO33" s="4">
        <f t="shared" si="38"/>
        <v>1</v>
      </c>
    </row>
    <row r="34" spans="1:67">
      <c r="A34" s="4">
        <v>0</v>
      </c>
      <c r="B34" s="4">
        <f>transform!A35</f>
        <v>5</v>
      </c>
      <c r="C34" s="4">
        <f>transform!B35</f>
        <v>1</v>
      </c>
      <c r="D34" s="4">
        <f>transform!C35</f>
        <v>4</v>
      </c>
      <c r="E34" s="4">
        <f>transform!D35</f>
        <v>40876</v>
      </c>
      <c r="F34" s="4">
        <f>transform!E35</f>
        <v>2</v>
      </c>
      <c r="G34" s="4">
        <f>transform!F35</f>
        <v>1993</v>
      </c>
      <c r="H34" s="4">
        <f>transform!G35</f>
        <v>3</v>
      </c>
      <c r="I34" s="4">
        <f>transform!H35</f>
        <v>1</v>
      </c>
      <c r="J34" s="4">
        <f>COUNTIF(Raw!AR35:CA35,1)/(COUNTIF(Raw!AR35:CA35,1)+COUNTIF(Raw!AR35:CA35,0))</f>
        <v>0.4</v>
      </c>
      <c r="K34" s="15">
        <v>0</v>
      </c>
      <c r="L34" s="15">
        <v>1</v>
      </c>
      <c r="M34" s="15">
        <v>0</v>
      </c>
      <c r="N34" s="4">
        <f>transform!CC35</f>
        <v>2</v>
      </c>
      <c r="O34" s="4">
        <f>transform!CD35</f>
        <v>2</v>
      </c>
      <c r="P34" s="4">
        <f>transform!CE35</f>
        <v>2</v>
      </c>
      <c r="Q34" s="4">
        <f>transform!CF35</f>
        <v>2</v>
      </c>
      <c r="R34" s="4">
        <f>transform!CG35</f>
        <v>2</v>
      </c>
      <c r="S34" s="4">
        <f>transform!CH35</f>
        <v>2</v>
      </c>
      <c r="T34" s="4">
        <f>transform!CI35</f>
        <v>1</v>
      </c>
      <c r="U34" s="4">
        <f>transform!CJ35</f>
        <v>2</v>
      </c>
      <c r="V34" s="4">
        <f t="shared" ref="V34:V65" si="39">IF(T34=1,IF(U34=1,1,0),0)</f>
        <v>0</v>
      </c>
      <c r="W34" s="4">
        <f t="shared" ref="W34:W70" si="40">IF(T34=1,IF(U34=2,1,0),0)</f>
        <v>1</v>
      </c>
      <c r="X34" s="4">
        <f t="shared" ref="X34:X70" si="41">IF(T34=1,U34+1,IF(NOT(U34=0),1,0))</f>
        <v>3</v>
      </c>
      <c r="Y34" s="4">
        <f>transform!CK35</f>
        <v>2</v>
      </c>
      <c r="Z34" s="4">
        <f>transform!CL35</f>
        <v>1</v>
      </c>
      <c r="AA34" s="4">
        <f>transform!CM35</f>
        <v>2</v>
      </c>
      <c r="AB34" s="4">
        <f t="shared" ref="AB34:AB65" si="42">IF(Z34=1,IF(AA34=1,1,0),0)</f>
        <v>0</v>
      </c>
      <c r="AC34" s="4">
        <f t="shared" ref="AC34:AC70" si="43">IF(Z34=1,IF(AA34=2,1,0),0)</f>
        <v>1</v>
      </c>
      <c r="AD34" s="4">
        <f t="shared" ref="AD34:AD70" si="44">IF(Z34=1,AA34+1,IF(NOT(AA34=0),1,0))</f>
        <v>3</v>
      </c>
      <c r="AE34" s="4">
        <f>transform!CN35</f>
        <v>2</v>
      </c>
      <c r="AF34" s="4">
        <f>transform!CO35</f>
        <v>1</v>
      </c>
      <c r="AG34" s="4">
        <f>transform!CP35</f>
        <v>2</v>
      </c>
      <c r="AH34" s="4">
        <f t="shared" ref="AH34:AH65" si="45">IF(AF34=1,IF(AG34=1,1,0),0)</f>
        <v>0</v>
      </c>
      <c r="AI34" s="4">
        <f t="shared" ref="AI34:AI70" si="46">IF(AF34=1,IF(AG34=2,1,0),0)</f>
        <v>1</v>
      </c>
      <c r="AJ34" s="4">
        <f t="shared" ref="AJ34:AJ70" si="47">IF(AF34=1,AG34+1,IF(NOT(AG34=0),1,0))</f>
        <v>3</v>
      </c>
      <c r="AK34" s="4">
        <f>transform!CQ35</f>
        <v>2</v>
      </c>
      <c r="AL34" s="4">
        <f t="shared" si="9"/>
        <v>1</v>
      </c>
      <c r="AM34" s="4">
        <f t="shared" si="10"/>
        <v>2</v>
      </c>
      <c r="AN34" s="4">
        <f t="shared" si="11"/>
        <v>1</v>
      </c>
      <c r="AO34" s="4">
        <f t="shared" si="12"/>
        <v>1</v>
      </c>
      <c r="AP34" s="4">
        <f t="shared" si="13"/>
        <v>1</v>
      </c>
      <c r="AQ34" s="4">
        <f t="shared" si="14"/>
        <v>2</v>
      </c>
      <c r="AR34" s="4">
        <f t="shared" si="15"/>
        <v>1</v>
      </c>
      <c r="AS34" s="4">
        <f t="shared" si="16"/>
        <v>1</v>
      </c>
      <c r="AT34" s="4">
        <f t="shared" si="17"/>
        <v>1</v>
      </c>
      <c r="AU34" s="4">
        <f t="shared" si="18"/>
        <v>2</v>
      </c>
      <c r="AV34" s="4">
        <f t="shared" si="19"/>
        <v>1</v>
      </c>
      <c r="AW34" s="4">
        <f t="shared" si="20"/>
        <v>1</v>
      </c>
      <c r="AX34" s="4">
        <f t="shared" si="21"/>
        <v>1</v>
      </c>
      <c r="AY34" s="4">
        <f t="shared" si="22"/>
        <v>1</v>
      </c>
      <c r="AZ34" s="4">
        <f t="shared" si="23"/>
        <v>1</v>
      </c>
      <c r="BA34" s="4">
        <f t="shared" si="24"/>
        <v>2</v>
      </c>
      <c r="BB34" s="4">
        <f t="shared" si="25"/>
        <v>1</v>
      </c>
      <c r="BC34" s="4">
        <f t="shared" si="26"/>
        <v>1</v>
      </c>
      <c r="BD34" s="4">
        <f t="shared" si="27"/>
        <v>1</v>
      </c>
      <c r="BE34" s="4">
        <f t="shared" si="28"/>
        <v>1</v>
      </c>
      <c r="BF34" s="4">
        <f t="shared" si="29"/>
        <v>1</v>
      </c>
      <c r="BG34" s="4">
        <f t="shared" si="30"/>
        <v>2</v>
      </c>
      <c r="BH34" s="4">
        <f t="shared" si="31"/>
        <v>1</v>
      </c>
      <c r="BI34" s="4">
        <f t="shared" si="32"/>
        <v>1</v>
      </c>
      <c r="BJ34" s="4">
        <f t="shared" si="33"/>
        <v>1</v>
      </c>
      <c r="BK34" s="4">
        <f t="shared" si="34"/>
        <v>1</v>
      </c>
      <c r="BL34" s="4">
        <f t="shared" si="35"/>
        <v>1</v>
      </c>
      <c r="BM34" s="4">
        <f t="shared" si="36"/>
        <v>2</v>
      </c>
      <c r="BN34" s="4">
        <f t="shared" si="37"/>
        <v>1</v>
      </c>
      <c r="BO34" s="4">
        <f t="shared" si="38"/>
        <v>1</v>
      </c>
    </row>
    <row r="35" spans="1:67">
      <c r="A35" s="4">
        <v>0</v>
      </c>
      <c r="B35" s="4">
        <f>transform!A36</f>
        <v>5</v>
      </c>
      <c r="C35" s="4">
        <f>transform!B36</f>
        <v>1</v>
      </c>
      <c r="D35" s="4">
        <f>transform!C36</f>
        <v>5</v>
      </c>
      <c r="E35" s="4">
        <f>transform!D36</f>
        <v>40876</v>
      </c>
      <c r="F35" s="4">
        <f>transform!E36</f>
        <v>2</v>
      </c>
      <c r="G35" s="4">
        <f>transform!F36</f>
        <v>1992</v>
      </c>
      <c r="H35" s="4">
        <f>transform!G36</f>
        <v>6</v>
      </c>
      <c r="I35" s="4">
        <f>transform!H36</f>
        <v>1</v>
      </c>
      <c r="J35" s="4">
        <f>COUNTIF(Raw!AR36:CA36,1)/(COUNTIF(Raw!AR36:CA36,1)+COUNTIF(Raw!AR36:CA36,0))</f>
        <v>0.2</v>
      </c>
      <c r="K35" s="15">
        <v>0</v>
      </c>
      <c r="L35" s="15">
        <v>1</v>
      </c>
      <c r="M35" s="15">
        <v>0</v>
      </c>
      <c r="N35" s="4">
        <f>transform!CC36</f>
        <v>1</v>
      </c>
      <c r="O35" s="4">
        <f>transform!CD36</f>
        <v>1</v>
      </c>
      <c r="P35" s="4">
        <f>transform!CE36</f>
        <v>1</v>
      </c>
      <c r="Q35" s="4">
        <f>transform!CF36</f>
        <v>1</v>
      </c>
      <c r="R35" s="4">
        <f>transform!CG36</f>
        <v>1</v>
      </c>
      <c r="S35" s="4">
        <f>transform!CH36</f>
        <v>1</v>
      </c>
      <c r="T35" s="4">
        <f>transform!CI36</f>
        <v>1</v>
      </c>
      <c r="U35" s="4">
        <f>transform!CJ36</f>
        <v>2</v>
      </c>
      <c r="V35" s="4">
        <f t="shared" si="39"/>
        <v>0</v>
      </c>
      <c r="W35" s="4">
        <f t="shared" si="40"/>
        <v>1</v>
      </c>
      <c r="X35" s="4">
        <f t="shared" si="41"/>
        <v>3</v>
      </c>
      <c r="Y35" s="4">
        <f>transform!CK36</f>
        <v>2</v>
      </c>
      <c r="Z35" s="4">
        <f>transform!CL36</f>
        <v>1</v>
      </c>
      <c r="AA35" s="4">
        <f>transform!CM36</f>
        <v>1</v>
      </c>
      <c r="AB35" s="4">
        <f t="shared" si="42"/>
        <v>1</v>
      </c>
      <c r="AC35" s="4">
        <f t="shared" si="43"/>
        <v>0</v>
      </c>
      <c r="AD35" s="4">
        <f t="shared" si="44"/>
        <v>2</v>
      </c>
      <c r="AE35" s="4">
        <f>transform!CN36</f>
        <v>1</v>
      </c>
      <c r="AF35" s="4">
        <f>transform!CO36</f>
        <v>0</v>
      </c>
      <c r="AG35" s="4">
        <f>transform!CP36</f>
        <v>2</v>
      </c>
      <c r="AH35" s="4">
        <f t="shared" si="45"/>
        <v>0</v>
      </c>
      <c r="AI35" s="4">
        <f t="shared" si="46"/>
        <v>0</v>
      </c>
      <c r="AJ35" s="4">
        <f t="shared" si="47"/>
        <v>1</v>
      </c>
      <c r="AK35" s="4">
        <f>transform!CQ36</f>
        <v>1</v>
      </c>
      <c r="AL35" s="4">
        <f t="shared" si="9"/>
        <v>2</v>
      </c>
      <c r="AM35" s="4">
        <f t="shared" si="10"/>
        <v>1</v>
      </c>
      <c r="AN35" s="4">
        <f t="shared" si="11"/>
        <v>1</v>
      </c>
      <c r="AO35" s="4">
        <f t="shared" si="12"/>
        <v>1</v>
      </c>
      <c r="AP35" s="4">
        <f t="shared" si="13"/>
        <v>2</v>
      </c>
      <c r="AQ35" s="4">
        <f t="shared" si="14"/>
        <v>1</v>
      </c>
      <c r="AR35" s="4">
        <f t="shared" si="15"/>
        <v>1</v>
      </c>
      <c r="AS35" s="4">
        <f t="shared" si="16"/>
        <v>1</v>
      </c>
      <c r="AT35" s="4">
        <f t="shared" si="17"/>
        <v>2</v>
      </c>
      <c r="AU35" s="4">
        <f t="shared" si="18"/>
        <v>1</v>
      </c>
      <c r="AV35" s="4">
        <f t="shared" si="19"/>
        <v>1</v>
      </c>
      <c r="AW35" s="4">
        <f t="shared" si="20"/>
        <v>1</v>
      </c>
      <c r="AX35" s="4">
        <f t="shared" si="21"/>
        <v>1</v>
      </c>
      <c r="AY35" s="4">
        <f t="shared" si="22"/>
        <v>1</v>
      </c>
      <c r="AZ35" s="4">
        <f t="shared" si="23"/>
        <v>1</v>
      </c>
      <c r="BA35" s="4">
        <f t="shared" si="24"/>
        <v>2</v>
      </c>
      <c r="BB35" s="4">
        <f t="shared" si="25"/>
        <v>1</v>
      </c>
      <c r="BC35" s="4">
        <f t="shared" si="26"/>
        <v>1</v>
      </c>
      <c r="BD35" s="4">
        <f t="shared" si="27"/>
        <v>1</v>
      </c>
      <c r="BE35" s="4">
        <f t="shared" si="28"/>
        <v>1</v>
      </c>
      <c r="BF35" s="4">
        <f t="shared" si="29"/>
        <v>2</v>
      </c>
      <c r="BG35" s="4">
        <f t="shared" si="30"/>
        <v>1</v>
      </c>
      <c r="BH35" s="4">
        <f t="shared" si="31"/>
        <v>1</v>
      </c>
      <c r="BI35" s="4">
        <f t="shared" si="32"/>
        <v>1</v>
      </c>
      <c r="BJ35" s="4">
        <f t="shared" si="33"/>
        <v>2</v>
      </c>
      <c r="BK35" s="4">
        <f t="shared" si="34"/>
        <v>1</v>
      </c>
      <c r="BL35" s="4">
        <f t="shared" si="35"/>
        <v>1</v>
      </c>
      <c r="BM35" s="4">
        <f t="shared" si="36"/>
        <v>1</v>
      </c>
      <c r="BN35" s="4">
        <f t="shared" si="37"/>
        <v>1</v>
      </c>
      <c r="BO35" s="4">
        <f t="shared" si="38"/>
        <v>1</v>
      </c>
    </row>
    <row r="36" spans="1:67">
      <c r="A36" s="4">
        <v>0</v>
      </c>
      <c r="B36" s="4">
        <f>transform!A37</f>
        <v>5</v>
      </c>
      <c r="C36" s="4">
        <f>transform!B37</f>
        <v>1</v>
      </c>
      <c r="D36" s="4">
        <f>transform!C37</f>
        <v>6</v>
      </c>
      <c r="E36" s="4">
        <f>transform!D37</f>
        <v>40883</v>
      </c>
      <c r="F36" s="4">
        <f>transform!E37</f>
        <v>2</v>
      </c>
      <c r="G36" s="4">
        <f>transform!F37</f>
        <v>1985</v>
      </c>
      <c r="H36" s="4">
        <f>transform!G37</f>
        <v>4</v>
      </c>
      <c r="I36" s="4">
        <f>transform!H37</f>
        <v>2</v>
      </c>
      <c r="J36" s="4">
        <f>COUNTIF(Raw!AR37:CA37,1)/(COUNTIF(Raw!AR37:CA37,1)+COUNTIF(Raw!AR37:CA37,0))</f>
        <v>0.0666666666666667</v>
      </c>
      <c r="K36" s="15">
        <v>0.166666666666667</v>
      </c>
      <c r="L36" s="15">
        <v>0</v>
      </c>
      <c r="M36" s="15">
        <v>1</v>
      </c>
      <c r="N36" s="4">
        <f>transform!CC37</f>
        <v>1</v>
      </c>
      <c r="O36" s="4">
        <f>transform!CD37</f>
        <v>1</v>
      </c>
      <c r="P36" s="4">
        <f>transform!CE37</f>
        <v>1</v>
      </c>
      <c r="Q36" s="4">
        <f>transform!CF37</f>
        <v>1</v>
      </c>
      <c r="R36" s="4">
        <f>transform!CG37</f>
        <v>1</v>
      </c>
      <c r="S36" s="4">
        <f>transform!CH37</f>
        <v>1</v>
      </c>
      <c r="T36" s="4">
        <f>transform!CI37</f>
        <v>1</v>
      </c>
      <c r="U36" s="4">
        <f>transform!CJ37</f>
        <v>1</v>
      </c>
      <c r="V36" s="4">
        <f t="shared" si="39"/>
        <v>1</v>
      </c>
      <c r="W36" s="4">
        <f t="shared" si="40"/>
        <v>0</v>
      </c>
      <c r="X36" s="4">
        <f t="shared" si="41"/>
        <v>2</v>
      </c>
      <c r="Y36" s="4">
        <f>transform!CK37</f>
        <v>1</v>
      </c>
      <c r="Z36" s="4">
        <f>transform!CL37</f>
        <v>1</v>
      </c>
      <c r="AA36" s="4">
        <f>transform!CM37</f>
        <v>1</v>
      </c>
      <c r="AB36" s="4">
        <f t="shared" si="42"/>
        <v>1</v>
      </c>
      <c r="AC36" s="4">
        <f t="shared" si="43"/>
        <v>0</v>
      </c>
      <c r="AD36" s="4">
        <f t="shared" si="44"/>
        <v>2</v>
      </c>
      <c r="AE36" s="4">
        <f>transform!CN37</f>
        <v>2</v>
      </c>
      <c r="AF36" s="4">
        <f>transform!CO37</f>
        <v>1</v>
      </c>
      <c r="AG36" s="4">
        <f>transform!CP37</f>
        <v>1</v>
      </c>
      <c r="AH36" s="4">
        <f t="shared" si="45"/>
        <v>1</v>
      </c>
      <c r="AI36" s="4">
        <f t="shared" si="46"/>
        <v>0</v>
      </c>
      <c r="AJ36" s="4">
        <f t="shared" si="47"/>
        <v>2</v>
      </c>
      <c r="AK36" s="4">
        <f>transform!CQ37</f>
        <v>1</v>
      </c>
      <c r="AL36" s="4">
        <f t="shared" si="9"/>
        <v>2</v>
      </c>
      <c r="AM36" s="4">
        <f t="shared" si="10"/>
        <v>1</v>
      </c>
      <c r="AN36" s="4">
        <f t="shared" si="11"/>
        <v>1</v>
      </c>
      <c r="AO36" s="4">
        <f t="shared" si="12"/>
        <v>1</v>
      </c>
      <c r="AP36" s="4">
        <f t="shared" si="13"/>
        <v>2</v>
      </c>
      <c r="AQ36" s="4">
        <f t="shared" si="14"/>
        <v>1</v>
      </c>
      <c r="AR36" s="4">
        <f t="shared" si="15"/>
        <v>1</v>
      </c>
      <c r="AS36" s="4">
        <f t="shared" si="16"/>
        <v>1</v>
      </c>
      <c r="AT36" s="4">
        <f t="shared" si="17"/>
        <v>2</v>
      </c>
      <c r="AU36" s="4">
        <f t="shared" si="18"/>
        <v>1</v>
      </c>
      <c r="AV36" s="4">
        <f t="shared" si="19"/>
        <v>1</v>
      </c>
      <c r="AW36" s="4">
        <f t="shared" si="20"/>
        <v>1</v>
      </c>
      <c r="AX36" s="4">
        <f t="shared" si="21"/>
        <v>1</v>
      </c>
      <c r="AY36" s="4">
        <f t="shared" si="22"/>
        <v>1</v>
      </c>
      <c r="AZ36" s="4">
        <f t="shared" si="23"/>
        <v>2</v>
      </c>
      <c r="BA36" s="4">
        <f t="shared" si="24"/>
        <v>1</v>
      </c>
      <c r="BB36" s="4">
        <f t="shared" si="25"/>
        <v>1</v>
      </c>
      <c r="BC36" s="4">
        <f t="shared" si="26"/>
        <v>1</v>
      </c>
      <c r="BD36" s="4">
        <f t="shared" si="27"/>
        <v>1</v>
      </c>
      <c r="BE36" s="4">
        <f t="shared" si="28"/>
        <v>1</v>
      </c>
      <c r="BF36" s="4">
        <f t="shared" si="29"/>
        <v>1</v>
      </c>
      <c r="BG36" s="4">
        <f t="shared" si="30"/>
        <v>1</v>
      </c>
      <c r="BH36" s="4">
        <f t="shared" si="31"/>
        <v>2</v>
      </c>
      <c r="BI36" s="4">
        <f t="shared" si="32"/>
        <v>1</v>
      </c>
      <c r="BJ36" s="4">
        <f t="shared" si="33"/>
        <v>1</v>
      </c>
      <c r="BK36" s="4">
        <f t="shared" si="34"/>
        <v>1</v>
      </c>
      <c r="BL36" s="4">
        <f t="shared" si="35"/>
        <v>2</v>
      </c>
      <c r="BM36" s="4">
        <f t="shared" si="36"/>
        <v>1</v>
      </c>
      <c r="BN36" s="4">
        <f t="shared" si="37"/>
        <v>1</v>
      </c>
      <c r="BO36" s="4">
        <f t="shared" si="38"/>
        <v>1</v>
      </c>
    </row>
    <row r="37" spans="1:67">
      <c r="A37" s="4">
        <v>0</v>
      </c>
      <c r="B37" s="4">
        <f>transform!A38</f>
        <v>5</v>
      </c>
      <c r="C37" s="4">
        <f>transform!B38</f>
        <v>1</v>
      </c>
      <c r="D37" s="4">
        <f>transform!C38</f>
        <v>7</v>
      </c>
      <c r="E37" s="4">
        <f>transform!D38</f>
        <v>40876</v>
      </c>
      <c r="F37" s="4">
        <f>transform!E38</f>
        <v>2</v>
      </c>
      <c r="G37" s="4">
        <f>transform!F38</f>
        <v>1988</v>
      </c>
      <c r="H37" s="4">
        <f>transform!G38</f>
        <v>4</v>
      </c>
      <c r="I37" s="4">
        <f>transform!H38</f>
        <v>2</v>
      </c>
      <c r="J37" s="4">
        <f>COUNTIF(Raw!AR38:CA38,1)/(COUNTIF(Raw!AR38:CA38,1)+COUNTIF(Raw!AR38:CA38,0))</f>
        <v>0.266666666666667</v>
      </c>
      <c r="K37" s="15">
        <v>0</v>
      </c>
      <c r="L37" s="15">
        <v>1</v>
      </c>
      <c r="M37" s="15">
        <v>0</v>
      </c>
      <c r="N37" s="4">
        <f>transform!CC38</f>
        <v>2</v>
      </c>
      <c r="O37" s="4">
        <f>transform!CD38</f>
        <v>2</v>
      </c>
      <c r="P37" s="4">
        <f>transform!CE38</f>
        <v>2</v>
      </c>
      <c r="Q37" s="4">
        <f>transform!CF38</f>
        <v>2</v>
      </c>
      <c r="R37" s="4">
        <f>transform!CG38</f>
        <v>1</v>
      </c>
      <c r="S37" s="4">
        <f>transform!CH38</f>
        <v>2</v>
      </c>
      <c r="T37" s="4">
        <f>transform!CI38</f>
        <v>1</v>
      </c>
      <c r="U37" s="4">
        <f>transform!CJ38</f>
        <v>2</v>
      </c>
      <c r="V37" s="4">
        <f t="shared" si="39"/>
        <v>0</v>
      </c>
      <c r="W37" s="4">
        <f t="shared" si="40"/>
        <v>1</v>
      </c>
      <c r="X37" s="4">
        <f t="shared" si="41"/>
        <v>3</v>
      </c>
      <c r="Y37" s="4">
        <f>transform!CK38</f>
        <v>2</v>
      </c>
      <c r="Z37" s="4">
        <f>transform!CL38</f>
        <v>1</v>
      </c>
      <c r="AA37" s="4">
        <f>transform!CM38</f>
        <v>1</v>
      </c>
      <c r="AB37" s="4">
        <f t="shared" si="42"/>
        <v>1</v>
      </c>
      <c r="AC37" s="4">
        <f t="shared" si="43"/>
        <v>0</v>
      </c>
      <c r="AD37" s="4">
        <f t="shared" si="44"/>
        <v>2</v>
      </c>
      <c r="AE37" s="4">
        <f>transform!CN38</f>
        <v>2</v>
      </c>
      <c r="AF37" s="4">
        <f>transform!CO38</f>
        <v>1</v>
      </c>
      <c r="AG37" s="4">
        <f>transform!CP38</f>
        <v>1</v>
      </c>
      <c r="AH37" s="4">
        <f t="shared" si="45"/>
        <v>1</v>
      </c>
      <c r="AI37" s="4">
        <f t="shared" si="46"/>
        <v>0</v>
      </c>
      <c r="AJ37" s="4">
        <f t="shared" si="47"/>
        <v>2</v>
      </c>
      <c r="AK37" s="4">
        <f>transform!CQ38</f>
        <v>2</v>
      </c>
      <c r="AL37" s="4">
        <f t="shared" si="9"/>
        <v>1</v>
      </c>
      <c r="AM37" s="4">
        <f t="shared" si="10"/>
        <v>2</v>
      </c>
      <c r="AN37" s="4">
        <f t="shared" si="11"/>
        <v>1</v>
      </c>
      <c r="AO37" s="4">
        <f t="shared" si="12"/>
        <v>1</v>
      </c>
      <c r="AP37" s="4">
        <f t="shared" si="13"/>
        <v>1</v>
      </c>
      <c r="AQ37" s="4">
        <f t="shared" si="14"/>
        <v>2</v>
      </c>
      <c r="AR37" s="4">
        <f t="shared" si="15"/>
        <v>1</v>
      </c>
      <c r="AS37" s="4">
        <f t="shared" si="16"/>
        <v>1</v>
      </c>
      <c r="AT37" s="4">
        <f t="shared" si="17"/>
        <v>1</v>
      </c>
      <c r="AU37" s="4">
        <f t="shared" si="18"/>
        <v>1</v>
      </c>
      <c r="AV37" s="4">
        <f t="shared" si="19"/>
        <v>2</v>
      </c>
      <c r="AW37" s="4">
        <f t="shared" si="20"/>
        <v>1</v>
      </c>
      <c r="AX37" s="4">
        <f t="shared" si="21"/>
        <v>1</v>
      </c>
      <c r="AY37" s="4">
        <f t="shared" si="22"/>
        <v>1</v>
      </c>
      <c r="AZ37" s="4">
        <f t="shared" si="23"/>
        <v>1</v>
      </c>
      <c r="BA37" s="4">
        <f t="shared" si="24"/>
        <v>2</v>
      </c>
      <c r="BB37" s="4">
        <f t="shared" si="25"/>
        <v>1</v>
      </c>
      <c r="BC37" s="4">
        <f t="shared" si="26"/>
        <v>1</v>
      </c>
      <c r="BD37" s="4">
        <f t="shared" si="27"/>
        <v>1</v>
      </c>
      <c r="BE37" s="4">
        <f t="shared" si="28"/>
        <v>1</v>
      </c>
      <c r="BF37" s="4">
        <f t="shared" si="29"/>
        <v>1</v>
      </c>
      <c r="BG37" s="4">
        <f t="shared" si="30"/>
        <v>1</v>
      </c>
      <c r="BH37" s="4">
        <f t="shared" si="31"/>
        <v>2</v>
      </c>
      <c r="BI37" s="4">
        <f t="shared" si="32"/>
        <v>1</v>
      </c>
      <c r="BJ37" s="4">
        <f t="shared" si="33"/>
        <v>1</v>
      </c>
      <c r="BK37" s="4">
        <f t="shared" si="34"/>
        <v>1</v>
      </c>
      <c r="BL37" s="4">
        <f t="shared" si="35"/>
        <v>1</v>
      </c>
      <c r="BM37" s="4">
        <f t="shared" si="36"/>
        <v>1</v>
      </c>
      <c r="BN37" s="4">
        <f t="shared" si="37"/>
        <v>2</v>
      </c>
      <c r="BO37" s="4">
        <f t="shared" si="38"/>
        <v>1</v>
      </c>
    </row>
    <row r="38" spans="1:67">
      <c r="A38" s="4">
        <v>0</v>
      </c>
      <c r="B38" s="4">
        <f>transform!A39</f>
        <v>1</v>
      </c>
      <c r="C38" s="4">
        <f>transform!B39</f>
        <v>2</v>
      </c>
      <c r="D38" s="4">
        <f>transform!C39</f>
        <v>1</v>
      </c>
      <c r="E38" s="4">
        <f>transform!D39</f>
        <v>40876</v>
      </c>
      <c r="F38" s="4">
        <f>transform!E39</f>
        <v>1</v>
      </c>
      <c r="G38" s="4">
        <f>transform!F39</f>
        <v>1989</v>
      </c>
      <c r="H38" s="4">
        <f>transform!G39</f>
        <v>3</v>
      </c>
      <c r="I38" s="4">
        <f>transform!H39</f>
        <v>1</v>
      </c>
      <c r="J38" s="4">
        <f>COUNTIF(Raw!AR39:CA39,1)/(COUNTIF(Raw!AR39:CA39,1)+COUNTIF(Raw!AR39:CA39,0))</f>
        <v>0.333333333333333</v>
      </c>
      <c r="K38" s="15">
        <v>0.571428571428571</v>
      </c>
      <c r="L38" s="15">
        <v>1</v>
      </c>
      <c r="M38" s="15">
        <v>1</v>
      </c>
      <c r="N38" s="4">
        <f>transform!CC39</f>
        <v>2</v>
      </c>
      <c r="O38" s="4">
        <f>transform!CD39</f>
        <v>2</v>
      </c>
      <c r="P38" s="4">
        <f>transform!CE39</f>
        <v>2</v>
      </c>
      <c r="Q38" s="4">
        <f>transform!CF39</f>
        <v>2</v>
      </c>
      <c r="R38" s="4">
        <f>transform!CG39</f>
        <v>2</v>
      </c>
      <c r="S38" s="4">
        <f>transform!CH39</f>
        <v>2</v>
      </c>
      <c r="T38" s="4">
        <f>transform!CI39</f>
        <v>1</v>
      </c>
      <c r="U38" s="4">
        <f>transform!CJ39</f>
        <v>2</v>
      </c>
      <c r="V38" s="4">
        <f t="shared" si="39"/>
        <v>0</v>
      </c>
      <c r="W38" s="4">
        <f t="shared" si="40"/>
        <v>1</v>
      </c>
      <c r="X38" s="4">
        <f t="shared" si="41"/>
        <v>3</v>
      </c>
      <c r="Y38" s="4">
        <f>transform!CK39</f>
        <v>2</v>
      </c>
      <c r="Z38" s="4">
        <f>transform!CL39</f>
        <v>1</v>
      </c>
      <c r="AA38" s="4">
        <f>transform!CM39</f>
        <v>2</v>
      </c>
      <c r="AB38" s="4">
        <f t="shared" si="42"/>
        <v>0</v>
      </c>
      <c r="AC38" s="4">
        <f t="shared" si="43"/>
        <v>1</v>
      </c>
      <c r="AD38" s="4">
        <f t="shared" si="44"/>
        <v>3</v>
      </c>
      <c r="AE38" s="4">
        <f>transform!CN39</f>
        <v>2</v>
      </c>
      <c r="AF38" s="4">
        <f>transform!CO39</f>
        <v>1</v>
      </c>
      <c r="AG38" s="4">
        <f>transform!CP39</f>
        <v>2</v>
      </c>
      <c r="AH38" s="4">
        <f t="shared" si="45"/>
        <v>0</v>
      </c>
      <c r="AI38" s="4">
        <f t="shared" si="46"/>
        <v>1</v>
      </c>
      <c r="AJ38" s="4">
        <f t="shared" si="47"/>
        <v>3</v>
      </c>
      <c r="AK38" s="4">
        <f>transform!CQ39</f>
        <v>2</v>
      </c>
      <c r="AL38" s="4">
        <f t="shared" si="9"/>
        <v>1</v>
      </c>
      <c r="AM38" s="4">
        <f t="shared" si="10"/>
        <v>2</v>
      </c>
      <c r="AN38" s="4">
        <f t="shared" si="11"/>
        <v>1</v>
      </c>
      <c r="AO38" s="4">
        <f t="shared" si="12"/>
        <v>1</v>
      </c>
      <c r="AP38" s="4">
        <f t="shared" si="13"/>
        <v>1</v>
      </c>
      <c r="AQ38" s="4">
        <f t="shared" si="14"/>
        <v>2</v>
      </c>
      <c r="AR38" s="4">
        <f t="shared" si="15"/>
        <v>1</v>
      </c>
      <c r="AS38" s="4">
        <f t="shared" si="16"/>
        <v>1</v>
      </c>
      <c r="AT38" s="4">
        <f t="shared" si="17"/>
        <v>1</v>
      </c>
      <c r="AU38" s="4">
        <f t="shared" si="18"/>
        <v>2</v>
      </c>
      <c r="AV38" s="4">
        <f t="shared" si="19"/>
        <v>1</v>
      </c>
      <c r="AW38" s="4">
        <f t="shared" si="20"/>
        <v>1</v>
      </c>
      <c r="AX38" s="4">
        <f t="shared" si="21"/>
        <v>1</v>
      </c>
      <c r="AY38" s="4">
        <f t="shared" si="22"/>
        <v>1</v>
      </c>
      <c r="AZ38" s="4">
        <f t="shared" si="23"/>
        <v>1</v>
      </c>
      <c r="BA38" s="4">
        <f t="shared" si="24"/>
        <v>2</v>
      </c>
      <c r="BB38" s="4">
        <f t="shared" si="25"/>
        <v>1</v>
      </c>
      <c r="BC38" s="4">
        <f t="shared" si="26"/>
        <v>1</v>
      </c>
      <c r="BD38" s="4">
        <f t="shared" si="27"/>
        <v>1</v>
      </c>
      <c r="BE38" s="4">
        <f t="shared" si="28"/>
        <v>1</v>
      </c>
      <c r="BF38" s="4">
        <f t="shared" si="29"/>
        <v>1</v>
      </c>
      <c r="BG38" s="4">
        <f t="shared" si="30"/>
        <v>2</v>
      </c>
      <c r="BH38" s="4">
        <f t="shared" si="31"/>
        <v>1</v>
      </c>
      <c r="BI38" s="4">
        <f t="shared" si="32"/>
        <v>1</v>
      </c>
      <c r="BJ38" s="4">
        <f t="shared" si="33"/>
        <v>1</v>
      </c>
      <c r="BK38" s="4">
        <f t="shared" si="34"/>
        <v>1</v>
      </c>
      <c r="BL38" s="4">
        <f t="shared" si="35"/>
        <v>1</v>
      </c>
      <c r="BM38" s="4">
        <f t="shared" si="36"/>
        <v>2</v>
      </c>
      <c r="BN38" s="4">
        <f t="shared" si="37"/>
        <v>1</v>
      </c>
      <c r="BO38" s="4">
        <f t="shared" si="38"/>
        <v>1</v>
      </c>
    </row>
    <row r="39" spans="1:67">
      <c r="A39" s="4">
        <v>0</v>
      </c>
      <c r="B39" s="4">
        <f>transform!A40</f>
        <v>1</v>
      </c>
      <c r="C39" s="4">
        <f>transform!B40</f>
        <v>2</v>
      </c>
      <c r="D39" s="4">
        <f>transform!C40</f>
        <v>2</v>
      </c>
      <c r="E39" s="4">
        <f>transform!D40</f>
        <v>40876</v>
      </c>
      <c r="F39" s="4">
        <f>transform!E40</f>
        <v>1</v>
      </c>
      <c r="G39" s="4">
        <f>transform!F40</f>
        <v>1989</v>
      </c>
      <c r="H39" s="4">
        <f>transform!G40</f>
        <v>3</v>
      </c>
      <c r="I39" s="4">
        <f>transform!H40</f>
        <v>1</v>
      </c>
      <c r="J39" s="4">
        <f>COUNTIF(Raw!AR40:CA40,1)/(COUNTIF(Raw!AR40:CA40,1)+COUNTIF(Raw!AR40:CA40,0))</f>
        <v>0.285714285714286</v>
      </c>
      <c r="K39" s="15">
        <v>0.571428571428571</v>
      </c>
      <c r="L39" s="15">
        <v>1</v>
      </c>
      <c r="M39" s="15">
        <v>1</v>
      </c>
      <c r="N39" s="4">
        <f>transform!CC40</f>
        <v>2</v>
      </c>
      <c r="O39" s="4">
        <f>transform!CD40</f>
        <v>2</v>
      </c>
      <c r="P39" s="4">
        <f>transform!CE40</f>
        <v>2</v>
      </c>
      <c r="Q39" s="4">
        <f>transform!CF40</f>
        <v>2</v>
      </c>
      <c r="R39" s="4">
        <f>transform!CG40</f>
        <v>2</v>
      </c>
      <c r="S39" s="4">
        <f>transform!CH40</f>
        <v>2</v>
      </c>
      <c r="T39" s="4">
        <f>transform!CI40</f>
        <v>1</v>
      </c>
      <c r="U39" s="4">
        <f>transform!CJ40</f>
        <v>2</v>
      </c>
      <c r="V39" s="4">
        <f t="shared" si="39"/>
        <v>0</v>
      </c>
      <c r="W39" s="4">
        <f t="shared" si="40"/>
        <v>1</v>
      </c>
      <c r="X39" s="4">
        <f t="shared" si="41"/>
        <v>3</v>
      </c>
      <c r="Y39" s="4">
        <f>transform!CK40</f>
        <v>2</v>
      </c>
      <c r="Z39" s="4">
        <f>transform!CL40</f>
        <v>1</v>
      </c>
      <c r="AA39" s="4">
        <f>transform!CM40</f>
        <v>2</v>
      </c>
      <c r="AB39" s="4">
        <f t="shared" si="42"/>
        <v>0</v>
      </c>
      <c r="AC39" s="4">
        <f t="shared" si="43"/>
        <v>1</v>
      </c>
      <c r="AD39" s="4">
        <f t="shared" si="44"/>
        <v>3</v>
      </c>
      <c r="AE39" s="4">
        <f>transform!CN40</f>
        <v>2</v>
      </c>
      <c r="AF39" s="4">
        <f>transform!CO40</f>
        <v>0</v>
      </c>
      <c r="AG39" s="4">
        <f>transform!CP40</f>
        <v>2</v>
      </c>
      <c r="AH39" s="4">
        <f t="shared" si="45"/>
        <v>0</v>
      </c>
      <c r="AI39" s="4">
        <f t="shared" si="46"/>
        <v>0</v>
      </c>
      <c r="AJ39" s="4">
        <f t="shared" si="47"/>
        <v>1</v>
      </c>
      <c r="AK39" s="4">
        <f>transform!CQ40</f>
        <v>2</v>
      </c>
      <c r="AL39" s="4">
        <f t="shared" si="9"/>
        <v>1</v>
      </c>
      <c r="AM39" s="4">
        <f t="shared" si="10"/>
        <v>2</v>
      </c>
      <c r="AN39" s="4">
        <f t="shared" si="11"/>
        <v>1</v>
      </c>
      <c r="AO39" s="4">
        <f t="shared" si="12"/>
        <v>1</v>
      </c>
      <c r="AP39" s="4">
        <f t="shared" si="13"/>
        <v>1</v>
      </c>
      <c r="AQ39" s="4">
        <f t="shared" si="14"/>
        <v>2</v>
      </c>
      <c r="AR39" s="4">
        <f t="shared" si="15"/>
        <v>1</v>
      </c>
      <c r="AS39" s="4">
        <f t="shared" si="16"/>
        <v>1</v>
      </c>
      <c r="AT39" s="4">
        <f t="shared" si="17"/>
        <v>1</v>
      </c>
      <c r="AU39" s="4">
        <f t="shared" si="18"/>
        <v>2</v>
      </c>
      <c r="AV39" s="4">
        <f t="shared" si="19"/>
        <v>1</v>
      </c>
      <c r="AW39" s="4">
        <f t="shared" si="20"/>
        <v>1</v>
      </c>
      <c r="AX39" s="4">
        <f t="shared" si="21"/>
        <v>1</v>
      </c>
      <c r="AY39" s="4">
        <f t="shared" si="22"/>
        <v>1</v>
      </c>
      <c r="AZ39" s="4">
        <f t="shared" si="23"/>
        <v>1</v>
      </c>
      <c r="BA39" s="4">
        <f t="shared" si="24"/>
        <v>2</v>
      </c>
      <c r="BB39" s="4">
        <f t="shared" si="25"/>
        <v>1</v>
      </c>
      <c r="BC39" s="4">
        <f t="shared" si="26"/>
        <v>1</v>
      </c>
      <c r="BD39" s="4">
        <f t="shared" si="27"/>
        <v>1</v>
      </c>
      <c r="BE39" s="4">
        <f t="shared" si="28"/>
        <v>1</v>
      </c>
      <c r="BF39" s="4">
        <f t="shared" si="29"/>
        <v>1</v>
      </c>
      <c r="BG39" s="4">
        <f t="shared" si="30"/>
        <v>2</v>
      </c>
      <c r="BH39" s="4">
        <f t="shared" si="31"/>
        <v>1</v>
      </c>
      <c r="BI39" s="4">
        <f t="shared" si="32"/>
        <v>1</v>
      </c>
      <c r="BJ39" s="4">
        <f t="shared" si="33"/>
        <v>1</v>
      </c>
      <c r="BK39" s="4">
        <f t="shared" si="34"/>
        <v>2</v>
      </c>
      <c r="BL39" s="4">
        <f t="shared" si="35"/>
        <v>1</v>
      </c>
      <c r="BM39" s="4">
        <f t="shared" si="36"/>
        <v>1</v>
      </c>
      <c r="BN39" s="4">
        <f t="shared" si="37"/>
        <v>1</v>
      </c>
      <c r="BO39" s="4">
        <f t="shared" si="38"/>
        <v>1</v>
      </c>
    </row>
    <row r="40" spans="1:67">
      <c r="A40" s="4">
        <v>0</v>
      </c>
      <c r="B40" s="4">
        <f>transform!A41</f>
        <v>1</v>
      </c>
      <c r="C40" s="4">
        <f>transform!B41</f>
        <v>2</v>
      </c>
      <c r="D40" s="4">
        <f>transform!C41</f>
        <v>4</v>
      </c>
      <c r="E40" s="4">
        <f>transform!D41</f>
        <v>40876</v>
      </c>
      <c r="F40" s="4">
        <f>transform!E41</f>
        <v>1</v>
      </c>
      <c r="G40" s="4">
        <f>transform!F41</f>
        <v>1988</v>
      </c>
      <c r="H40" s="4">
        <f>transform!G41</f>
        <v>3</v>
      </c>
      <c r="I40" s="4">
        <f>transform!H41</f>
        <v>1</v>
      </c>
      <c r="J40" s="4">
        <f>COUNTIF(Raw!AR41:CA41,1)/(COUNTIF(Raw!AR41:CA41,1)+COUNTIF(Raw!AR41:CA41,0))</f>
        <v>0.571428571428571</v>
      </c>
      <c r="K40" s="15">
        <v>0.428571428571429</v>
      </c>
      <c r="L40" s="15">
        <v>1</v>
      </c>
      <c r="M40" s="15">
        <v>1</v>
      </c>
      <c r="N40" s="4">
        <f>transform!CC41</f>
        <v>2</v>
      </c>
      <c r="O40" s="4">
        <f>transform!CD41</f>
        <v>2</v>
      </c>
      <c r="P40" s="4">
        <f>transform!CE41</f>
        <v>2</v>
      </c>
      <c r="Q40" s="4">
        <f>transform!CF41</f>
        <v>1</v>
      </c>
      <c r="R40" s="4">
        <f>transform!CG41</f>
        <v>2</v>
      </c>
      <c r="S40" s="4">
        <f>transform!CH41</f>
        <v>1</v>
      </c>
      <c r="T40" s="4">
        <f>transform!CI41</f>
        <v>1</v>
      </c>
      <c r="U40" s="4">
        <f>transform!CJ41</f>
        <v>2</v>
      </c>
      <c r="V40" s="4">
        <f t="shared" si="39"/>
        <v>0</v>
      </c>
      <c r="W40" s="4">
        <f t="shared" si="40"/>
        <v>1</v>
      </c>
      <c r="X40" s="4">
        <f t="shared" si="41"/>
        <v>3</v>
      </c>
      <c r="Y40" s="4">
        <f>transform!CK41</f>
        <v>2</v>
      </c>
      <c r="Z40" s="4">
        <f>transform!CL41</f>
        <v>1</v>
      </c>
      <c r="AA40" s="4">
        <f>transform!CM41</f>
        <v>2</v>
      </c>
      <c r="AB40" s="4">
        <f t="shared" si="42"/>
        <v>0</v>
      </c>
      <c r="AC40" s="4">
        <f t="shared" si="43"/>
        <v>1</v>
      </c>
      <c r="AD40" s="4">
        <f t="shared" si="44"/>
        <v>3</v>
      </c>
      <c r="AE40" s="4">
        <f>transform!CN41</f>
        <v>1</v>
      </c>
      <c r="AF40" s="4">
        <f>transform!CO41</f>
        <v>0</v>
      </c>
      <c r="AG40" s="4">
        <f>transform!CP41</f>
        <v>1</v>
      </c>
      <c r="AH40" s="4">
        <f t="shared" si="45"/>
        <v>0</v>
      </c>
      <c r="AI40" s="4">
        <f t="shared" si="46"/>
        <v>0</v>
      </c>
      <c r="AJ40" s="4">
        <f t="shared" si="47"/>
        <v>1</v>
      </c>
      <c r="AK40" s="4">
        <f>transform!CQ41</f>
        <v>2</v>
      </c>
      <c r="AL40" s="4">
        <f t="shared" si="9"/>
        <v>1</v>
      </c>
      <c r="AM40" s="4">
        <f t="shared" si="10"/>
        <v>2</v>
      </c>
      <c r="AN40" s="4">
        <f t="shared" si="11"/>
        <v>1</v>
      </c>
      <c r="AO40" s="4">
        <f t="shared" si="12"/>
        <v>1</v>
      </c>
      <c r="AP40" s="4">
        <f t="shared" si="13"/>
        <v>1</v>
      </c>
      <c r="AQ40" s="4">
        <f t="shared" si="14"/>
        <v>1</v>
      </c>
      <c r="AR40" s="4">
        <f t="shared" si="15"/>
        <v>1</v>
      </c>
      <c r="AS40" s="4">
        <f t="shared" si="16"/>
        <v>2</v>
      </c>
      <c r="AT40" s="4">
        <f t="shared" si="17"/>
        <v>1</v>
      </c>
      <c r="AU40" s="4">
        <f t="shared" si="18"/>
        <v>1</v>
      </c>
      <c r="AV40" s="4">
        <f t="shared" si="19"/>
        <v>1</v>
      </c>
      <c r="AW40" s="4">
        <f t="shared" si="20"/>
        <v>2</v>
      </c>
      <c r="AX40" s="4">
        <f t="shared" si="21"/>
        <v>1</v>
      </c>
      <c r="AY40" s="4">
        <f t="shared" si="22"/>
        <v>1</v>
      </c>
      <c r="AZ40" s="4">
        <f t="shared" si="23"/>
        <v>1</v>
      </c>
      <c r="BA40" s="4">
        <f t="shared" si="24"/>
        <v>2</v>
      </c>
      <c r="BB40" s="4">
        <f t="shared" si="25"/>
        <v>1</v>
      </c>
      <c r="BC40" s="4">
        <f t="shared" si="26"/>
        <v>1</v>
      </c>
      <c r="BD40" s="4">
        <f t="shared" si="27"/>
        <v>1</v>
      </c>
      <c r="BE40" s="4">
        <f t="shared" si="28"/>
        <v>1</v>
      </c>
      <c r="BF40" s="4">
        <f t="shared" si="29"/>
        <v>1</v>
      </c>
      <c r="BG40" s="4">
        <f t="shared" si="30"/>
        <v>1</v>
      </c>
      <c r="BH40" s="4">
        <f t="shared" si="31"/>
        <v>1</v>
      </c>
      <c r="BI40" s="4">
        <f t="shared" si="32"/>
        <v>2</v>
      </c>
      <c r="BJ40" s="4">
        <f t="shared" si="33"/>
        <v>1</v>
      </c>
      <c r="BK40" s="4">
        <f t="shared" si="34"/>
        <v>2</v>
      </c>
      <c r="BL40" s="4">
        <f t="shared" si="35"/>
        <v>1</v>
      </c>
      <c r="BM40" s="4">
        <f t="shared" si="36"/>
        <v>1</v>
      </c>
      <c r="BN40" s="4">
        <f t="shared" si="37"/>
        <v>1</v>
      </c>
      <c r="BO40" s="4">
        <f t="shared" si="38"/>
        <v>1</v>
      </c>
    </row>
    <row r="41" spans="1:67">
      <c r="A41" s="4">
        <v>0</v>
      </c>
      <c r="B41" s="4">
        <f>transform!A42</f>
        <v>1</v>
      </c>
      <c r="C41" s="4">
        <f>transform!B42</f>
        <v>2</v>
      </c>
      <c r="D41" s="4">
        <f>transform!C42</f>
        <v>5</v>
      </c>
      <c r="E41" s="4">
        <f>transform!D42</f>
        <v>40883</v>
      </c>
      <c r="F41" s="4">
        <f>transform!E42</f>
        <v>1</v>
      </c>
      <c r="G41" s="4">
        <f>transform!F42</f>
        <v>1990</v>
      </c>
      <c r="H41" s="4">
        <f>transform!G42</f>
        <v>3</v>
      </c>
      <c r="I41" s="4">
        <f>transform!H42</f>
        <v>2</v>
      </c>
      <c r="J41" s="4">
        <f>COUNTIF(Raw!AR42:CA42,1)/(COUNTIF(Raw!AR42:CA42,1)+COUNTIF(Raw!AR42:CA42,0))</f>
        <v>0.238095238095238</v>
      </c>
      <c r="K41" s="15">
        <v>0</v>
      </c>
      <c r="L41" s="15">
        <v>0</v>
      </c>
      <c r="M41" s="15">
        <v>0</v>
      </c>
      <c r="N41" s="4">
        <f>transform!CC42</f>
        <v>2</v>
      </c>
      <c r="O41" s="4">
        <f>transform!CD42</f>
        <v>2</v>
      </c>
      <c r="P41" s="4">
        <f>transform!CE42</f>
        <v>2</v>
      </c>
      <c r="Q41" s="4">
        <f>transform!CF42</f>
        <v>2</v>
      </c>
      <c r="R41" s="4">
        <f>transform!CG42</f>
        <v>2</v>
      </c>
      <c r="S41" s="4">
        <f>transform!CH42</f>
        <v>2</v>
      </c>
      <c r="T41" s="4">
        <f>transform!CI42</f>
        <v>1</v>
      </c>
      <c r="U41" s="4">
        <f>transform!CJ42</f>
        <v>2</v>
      </c>
      <c r="V41" s="4">
        <f t="shared" si="39"/>
        <v>0</v>
      </c>
      <c r="W41" s="4">
        <f t="shared" si="40"/>
        <v>1</v>
      </c>
      <c r="X41" s="4">
        <f t="shared" si="41"/>
        <v>3</v>
      </c>
      <c r="Y41" s="4">
        <f>transform!CK42</f>
        <v>2</v>
      </c>
      <c r="Z41" s="4">
        <f>transform!CL42</f>
        <v>1</v>
      </c>
      <c r="AA41" s="4">
        <f>transform!CM42</f>
        <v>2</v>
      </c>
      <c r="AB41" s="4">
        <f t="shared" si="42"/>
        <v>0</v>
      </c>
      <c r="AC41" s="4">
        <f t="shared" si="43"/>
        <v>1</v>
      </c>
      <c r="AD41" s="4">
        <f t="shared" si="44"/>
        <v>3</v>
      </c>
      <c r="AE41" s="4">
        <f>transform!CN42</f>
        <v>2</v>
      </c>
      <c r="AF41" s="4">
        <f>transform!CO42</f>
        <v>1</v>
      </c>
      <c r="AG41" s="4">
        <f>transform!CP42</f>
        <v>2</v>
      </c>
      <c r="AH41" s="4">
        <f t="shared" si="45"/>
        <v>0</v>
      </c>
      <c r="AI41" s="4">
        <f t="shared" si="46"/>
        <v>1</v>
      </c>
      <c r="AJ41" s="4">
        <f t="shared" si="47"/>
        <v>3</v>
      </c>
      <c r="AK41" s="4">
        <f>transform!CQ42</f>
        <v>2</v>
      </c>
      <c r="AL41" s="4">
        <f t="shared" si="9"/>
        <v>1</v>
      </c>
      <c r="AM41" s="4">
        <f t="shared" si="10"/>
        <v>2</v>
      </c>
      <c r="AN41" s="4">
        <f t="shared" si="11"/>
        <v>1</v>
      </c>
      <c r="AO41" s="4">
        <f t="shared" si="12"/>
        <v>1</v>
      </c>
      <c r="AP41" s="4">
        <f t="shared" si="13"/>
        <v>1</v>
      </c>
      <c r="AQ41" s="4">
        <f t="shared" si="14"/>
        <v>2</v>
      </c>
      <c r="AR41" s="4">
        <f t="shared" si="15"/>
        <v>1</v>
      </c>
      <c r="AS41" s="4">
        <f t="shared" si="16"/>
        <v>1</v>
      </c>
      <c r="AT41" s="4">
        <f t="shared" si="17"/>
        <v>1</v>
      </c>
      <c r="AU41" s="4">
        <f t="shared" si="18"/>
        <v>2</v>
      </c>
      <c r="AV41" s="4">
        <f t="shared" si="19"/>
        <v>1</v>
      </c>
      <c r="AW41" s="4">
        <f t="shared" si="20"/>
        <v>1</v>
      </c>
      <c r="AX41" s="4">
        <f t="shared" si="21"/>
        <v>1</v>
      </c>
      <c r="AY41" s="4">
        <f t="shared" si="22"/>
        <v>1</v>
      </c>
      <c r="AZ41" s="4">
        <f t="shared" si="23"/>
        <v>1</v>
      </c>
      <c r="BA41" s="4">
        <f t="shared" si="24"/>
        <v>2</v>
      </c>
      <c r="BB41" s="4">
        <f t="shared" si="25"/>
        <v>1</v>
      </c>
      <c r="BC41" s="4">
        <f t="shared" si="26"/>
        <v>1</v>
      </c>
      <c r="BD41" s="4">
        <f t="shared" si="27"/>
        <v>1</v>
      </c>
      <c r="BE41" s="4">
        <f t="shared" si="28"/>
        <v>1</v>
      </c>
      <c r="BF41" s="4">
        <f t="shared" si="29"/>
        <v>1</v>
      </c>
      <c r="BG41" s="4">
        <f t="shared" si="30"/>
        <v>2</v>
      </c>
      <c r="BH41" s="4">
        <f t="shared" si="31"/>
        <v>1</v>
      </c>
      <c r="BI41" s="4">
        <f t="shared" si="32"/>
        <v>1</v>
      </c>
      <c r="BJ41" s="4">
        <f t="shared" si="33"/>
        <v>1</v>
      </c>
      <c r="BK41" s="4">
        <f t="shared" si="34"/>
        <v>1</v>
      </c>
      <c r="BL41" s="4">
        <f t="shared" si="35"/>
        <v>1</v>
      </c>
      <c r="BM41" s="4">
        <f t="shared" si="36"/>
        <v>2</v>
      </c>
      <c r="BN41" s="4">
        <f t="shared" si="37"/>
        <v>1</v>
      </c>
      <c r="BO41" s="4">
        <f t="shared" si="38"/>
        <v>1</v>
      </c>
    </row>
    <row r="42" spans="1:67">
      <c r="A42" s="4">
        <v>0</v>
      </c>
      <c r="B42" s="4">
        <f>transform!A43</f>
        <v>1</v>
      </c>
      <c r="C42" s="4">
        <f>transform!B43</f>
        <v>2</v>
      </c>
      <c r="D42" s="4">
        <f>transform!C43</f>
        <v>6</v>
      </c>
      <c r="E42" s="4">
        <f>transform!D43</f>
        <v>40892</v>
      </c>
      <c r="F42" s="4">
        <f>transform!E43</f>
        <v>1</v>
      </c>
      <c r="G42" s="4">
        <f>transform!F43</f>
        <v>1993</v>
      </c>
      <c r="H42" s="4">
        <f>transform!G43</f>
        <v>6</v>
      </c>
      <c r="I42" s="4">
        <f>transform!H43</f>
        <v>1</v>
      </c>
      <c r="J42" s="4">
        <f>COUNTIF(Raw!AR43:CA43,1)/(COUNTIF(Raw!AR43:CA43,1)+COUNTIF(Raw!AR43:CA43,0))</f>
        <v>0.0869565217391304</v>
      </c>
      <c r="K42" s="15">
        <v>0.571428571428571</v>
      </c>
      <c r="L42" s="15">
        <v>0</v>
      </c>
      <c r="M42" s="15">
        <v>1</v>
      </c>
      <c r="N42" s="4">
        <f>transform!CC43</f>
        <v>2</v>
      </c>
      <c r="O42" s="4">
        <f>transform!CD43</f>
        <v>2</v>
      </c>
      <c r="P42" s="4">
        <f>transform!CE43</f>
        <v>1</v>
      </c>
      <c r="Q42" s="4">
        <f>transform!CF43</f>
        <v>1</v>
      </c>
      <c r="R42" s="4">
        <f>transform!CG43</f>
        <v>2</v>
      </c>
      <c r="S42" s="4">
        <f>transform!CH43</f>
        <v>2</v>
      </c>
      <c r="T42" s="4">
        <f>transform!CI43</f>
        <v>1</v>
      </c>
      <c r="U42" s="4">
        <f>transform!CJ43</f>
        <v>1</v>
      </c>
      <c r="V42" s="4">
        <f t="shared" si="39"/>
        <v>1</v>
      </c>
      <c r="W42" s="4">
        <f t="shared" si="40"/>
        <v>0</v>
      </c>
      <c r="X42" s="4">
        <f t="shared" si="41"/>
        <v>2</v>
      </c>
      <c r="Y42" s="4">
        <f>transform!CK43</f>
        <v>2</v>
      </c>
      <c r="Z42" s="4">
        <f>transform!CL43</f>
        <v>0</v>
      </c>
      <c r="AA42" s="4">
        <f>transform!CM43</f>
        <v>1</v>
      </c>
      <c r="AB42" s="4">
        <f t="shared" si="42"/>
        <v>0</v>
      </c>
      <c r="AC42" s="4">
        <f t="shared" si="43"/>
        <v>0</v>
      </c>
      <c r="AD42" s="4">
        <f t="shared" si="44"/>
        <v>1</v>
      </c>
      <c r="AE42" s="4">
        <f>transform!CN43</f>
        <v>1</v>
      </c>
      <c r="AF42" s="4">
        <f>transform!CO43</f>
        <v>0</v>
      </c>
      <c r="AG42" s="4">
        <f>transform!CP43</f>
        <v>1</v>
      </c>
      <c r="AH42" s="4">
        <f t="shared" si="45"/>
        <v>0</v>
      </c>
      <c r="AI42" s="4">
        <f t="shared" si="46"/>
        <v>0</v>
      </c>
      <c r="AJ42" s="4">
        <f t="shared" si="47"/>
        <v>1</v>
      </c>
      <c r="AK42" s="4">
        <f>transform!CQ43</f>
        <v>2</v>
      </c>
      <c r="AL42" s="4">
        <f t="shared" si="9"/>
        <v>1</v>
      </c>
      <c r="AM42" s="4">
        <f t="shared" si="10"/>
        <v>2</v>
      </c>
      <c r="AN42" s="4">
        <f t="shared" si="11"/>
        <v>1</v>
      </c>
      <c r="AO42" s="4">
        <f t="shared" si="12"/>
        <v>1</v>
      </c>
      <c r="AP42" s="4">
        <f t="shared" si="13"/>
        <v>2</v>
      </c>
      <c r="AQ42" s="4">
        <f t="shared" si="14"/>
        <v>1</v>
      </c>
      <c r="AR42" s="4">
        <f t="shared" si="15"/>
        <v>1</v>
      </c>
      <c r="AS42" s="4">
        <f t="shared" si="16"/>
        <v>1</v>
      </c>
      <c r="AT42" s="4">
        <f t="shared" si="17"/>
        <v>1</v>
      </c>
      <c r="AU42" s="4">
        <f t="shared" si="18"/>
        <v>2</v>
      </c>
      <c r="AV42" s="4">
        <f t="shared" si="19"/>
        <v>1</v>
      </c>
      <c r="AW42" s="4">
        <f t="shared" si="20"/>
        <v>1</v>
      </c>
      <c r="AX42" s="4">
        <f t="shared" si="21"/>
        <v>1</v>
      </c>
      <c r="AY42" s="4">
        <f t="shared" si="22"/>
        <v>1</v>
      </c>
      <c r="AZ42" s="4">
        <f t="shared" si="23"/>
        <v>1</v>
      </c>
      <c r="BA42" s="4">
        <f t="shared" si="24"/>
        <v>1</v>
      </c>
      <c r="BB42" s="4">
        <f t="shared" si="25"/>
        <v>2</v>
      </c>
      <c r="BC42" s="4">
        <f t="shared" si="26"/>
        <v>1</v>
      </c>
      <c r="BD42" s="4">
        <f t="shared" si="27"/>
        <v>2</v>
      </c>
      <c r="BE42" s="4">
        <f t="shared" si="28"/>
        <v>1</v>
      </c>
      <c r="BF42" s="4">
        <f t="shared" si="29"/>
        <v>1</v>
      </c>
      <c r="BG42" s="4">
        <f t="shared" si="30"/>
        <v>1</v>
      </c>
      <c r="BH42" s="4">
        <f t="shared" si="31"/>
        <v>1</v>
      </c>
      <c r="BI42" s="4">
        <f t="shared" si="32"/>
        <v>1</v>
      </c>
      <c r="BJ42" s="4">
        <f t="shared" si="33"/>
        <v>1</v>
      </c>
      <c r="BK42" s="4">
        <f t="shared" si="34"/>
        <v>2</v>
      </c>
      <c r="BL42" s="4">
        <f t="shared" si="35"/>
        <v>1</v>
      </c>
      <c r="BM42" s="4">
        <f t="shared" si="36"/>
        <v>1</v>
      </c>
      <c r="BN42" s="4">
        <f t="shared" si="37"/>
        <v>1</v>
      </c>
      <c r="BO42" s="4">
        <f t="shared" si="38"/>
        <v>1</v>
      </c>
    </row>
    <row r="43" spans="1:67">
      <c r="A43" s="4">
        <v>0</v>
      </c>
      <c r="B43" s="4">
        <f>transform!A44</f>
        <v>1</v>
      </c>
      <c r="C43" s="4">
        <f>transform!B44</f>
        <v>2</v>
      </c>
      <c r="D43" s="4">
        <f>transform!C44</f>
        <v>7</v>
      </c>
      <c r="E43" s="4">
        <f>transform!D44</f>
        <v>40876</v>
      </c>
      <c r="F43" s="4">
        <f>transform!E44</f>
        <v>1</v>
      </c>
      <c r="G43" s="4">
        <f>transform!F44</f>
        <v>1992</v>
      </c>
      <c r="H43" s="4">
        <f>transform!G44</f>
        <v>6</v>
      </c>
      <c r="I43" s="4">
        <f>transform!H44</f>
        <v>2</v>
      </c>
      <c r="J43" s="4">
        <f>COUNTIF(Raw!AR44:CA44,1)/(COUNTIF(Raw!AR44:CA44,1)+COUNTIF(Raw!AR44:CA44,0))</f>
        <v>0.238095238095238</v>
      </c>
      <c r="K43" s="15">
        <v>0</v>
      </c>
      <c r="L43" s="15">
        <v>0</v>
      </c>
      <c r="M43" s="15">
        <v>0</v>
      </c>
      <c r="N43" s="4">
        <f>transform!CC44</f>
        <v>2</v>
      </c>
      <c r="O43" s="4">
        <f>transform!CD44</f>
        <v>2</v>
      </c>
      <c r="P43" s="4">
        <f>transform!CE44</f>
        <v>1</v>
      </c>
      <c r="Q43" s="4">
        <f>transform!CF44</f>
        <v>1</v>
      </c>
      <c r="R43" s="4">
        <f>transform!CG44</f>
        <v>2</v>
      </c>
      <c r="S43" s="4">
        <f>transform!CH44</f>
        <v>2</v>
      </c>
      <c r="T43" s="4">
        <f>transform!CI44</f>
        <v>1</v>
      </c>
      <c r="U43" s="4">
        <f>transform!CJ44</f>
        <v>2</v>
      </c>
      <c r="V43" s="4">
        <f t="shared" si="39"/>
        <v>0</v>
      </c>
      <c r="W43" s="4">
        <f t="shared" si="40"/>
        <v>1</v>
      </c>
      <c r="X43" s="4">
        <f t="shared" si="41"/>
        <v>3</v>
      </c>
      <c r="Y43" s="4">
        <f>transform!CK44</f>
        <v>1</v>
      </c>
      <c r="Z43" s="4">
        <f>transform!CL44</f>
        <v>1</v>
      </c>
      <c r="AA43" s="4">
        <f>transform!CM44</f>
        <v>1</v>
      </c>
      <c r="AB43" s="4">
        <f t="shared" si="42"/>
        <v>1</v>
      </c>
      <c r="AC43" s="4">
        <f t="shared" si="43"/>
        <v>0</v>
      </c>
      <c r="AD43" s="4">
        <f t="shared" si="44"/>
        <v>2</v>
      </c>
      <c r="AE43" s="4">
        <f>transform!CN44</f>
        <v>2</v>
      </c>
      <c r="AF43" s="4">
        <f>transform!CO44</f>
        <v>1</v>
      </c>
      <c r="AG43" s="4">
        <f>transform!CP44</f>
        <v>2</v>
      </c>
      <c r="AH43" s="4">
        <f t="shared" si="45"/>
        <v>0</v>
      </c>
      <c r="AI43" s="4">
        <f t="shared" si="46"/>
        <v>1</v>
      </c>
      <c r="AJ43" s="4">
        <f t="shared" si="47"/>
        <v>3</v>
      </c>
      <c r="AK43" s="4">
        <f>transform!CQ44</f>
        <v>1</v>
      </c>
      <c r="AL43" s="4">
        <f t="shared" si="9"/>
        <v>1</v>
      </c>
      <c r="AM43" s="4">
        <f t="shared" si="10"/>
        <v>2</v>
      </c>
      <c r="AN43" s="4">
        <f t="shared" si="11"/>
        <v>1</v>
      </c>
      <c r="AO43" s="4">
        <f t="shared" si="12"/>
        <v>1</v>
      </c>
      <c r="AP43" s="4">
        <f t="shared" si="13"/>
        <v>2</v>
      </c>
      <c r="AQ43" s="4">
        <f t="shared" si="14"/>
        <v>1</v>
      </c>
      <c r="AR43" s="4">
        <f t="shared" si="15"/>
        <v>1</v>
      </c>
      <c r="AS43" s="4">
        <f t="shared" si="16"/>
        <v>1</v>
      </c>
      <c r="AT43" s="4">
        <f t="shared" si="17"/>
        <v>1</v>
      </c>
      <c r="AU43" s="4">
        <f t="shared" si="18"/>
        <v>2</v>
      </c>
      <c r="AV43" s="4">
        <f t="shared" si="19"/>
        <v>1</v>
      </c>
      <c r="AW43" s="4">
        <f t="shared" si="20"/>
        <v>1</v>
      </c>
      <c r="AX43" s="4">
        <f t="shared" si="21"/>
        <v>1</v>
      </c>
      <c r="AY43" s="4">
        <f t="shared" si="22"/>
        <v>1</v>
      </c>
      <c r="AZ43" s="4">
        <f t="shared" si="23"/>
        <v>1</v>
      </c>
      <c r="BA43" s="4">
        <f t="shared" si="24"/>
        <v>1</v>
      </c>
      <c r="BB43" s="4">
        <f t="shared" si="25"/>
        <v>1</v>
      </c>
      <c r="BC43" s="4">
        <f t="shared" si="26"/>
        <v>2</v>
      </c>
      <c r="BD43" s="4">
        <f t="shared" si="27"/>
        <v>1</v>
      </c>
      <c r="BE43" s="4">
        <f t="shared" si="28"/>
        <v>1</v>
      </c>
      <c r="BF43" s="4">
        <f t="shared" si="29"/>
        <v>1</v>
      </c>
      <c r="BG43" s="4">
        <f t="shared" si="30"/>
        <v>1</v>
      </c>
      <c r="BH43" s="4">
        <f t="shared" si="31"/>
        <v>2</v>
      </c>
      <c r="BI43" s="4">
        <f t="shared" si="32"/>
        <v>1</v>
      </c>
      <c r="BJ43" s="4">
        <f t="shared" si="33"/>
        <v>1</v>
      </c>
      <c r="BK43" s="4">
        <f t="shared" si="34"/>
        <v>1</v>
      </c>
      <c r="BL43" s="4">
        <f t="shared" si="35"/>
        <v>1</v>
      </c>
      <c r="BM43" s="4">
        <f t="shared" si="36"/>
        <v>1</v>
      </c>
      <c r="BN43" s="4">
        <f t="shared" si="37"/>
        <v>1</v>
      </c>
      <c r="BO43" s="4">
        <f t="shared" si="38"/>
        <v>2</v>
      </c>
    </row>
    <row r="44" spans="1:67">
      <c r="A44" s="4">
        <v>0</v>
      </c>
      <c r="B44" s="4">
        <f>transform!A45</f>
        <v>1</v>
      </c>
      <c r="C44" s="4">
        <f>transform!B45</f>
        <v>2</v>
      </c>
      <c r="D44" s="4">
        <f>transform!C45</f>
        <v>8</v>
      </c>
      <c r="E44" s="4">
        <f>transform!D45</f>
        <v>40876</v>
      </c>
      <c r="F44" s="4">
        <f>transform!E45</f>
        <v>1</v>
      </c>
      <c r="G44" s="4">
        <f>transform!F45</f>
        <v>1991</v>
      </c>
      <c r="H44" s="4">
        <f>transform!G45</f>
        <v>1</v>
      </c>
      <c r="I44" s="4">
        <f>transform!H45</f>
        <v>1</v>
      </c>
      <c r="J44" s="4">
        <f>COUNTIF(Raw!AR45:CA45,1)/(COUNTIF(Raw!AR45:CA45,1)+COUNTIF(Raw!AR45:CA45,0))</f>
        <v>0.142857142857143</v>
      </c>
      <c r="K44" s="15">
        <v>0.571428571428571</v>
      </c>
      <c r="L44" s="15">
        <v>0</v>
      </c>
      <c r="M44" s="15">
        <v>1</v>
      </c>
      <c r="N44" s="4">
        <f>transform!CC45</f>
        <v>1</v>
      </c>
      <c r="O44" s="4">
        <f>transform!CD45</f>
        <v>1</v>
      </c>
      <c r="P44" s="4">
        <f>transform!CE45</f>
        <v>1</v>
      </c>
      <c r="Q44" s="4">
        <f>transform!CF45</f>
        <v>2</v>
      </c>
      <c r="R44" s="4">
        <f>transform!CG45</f>
        <v>1</v>
      </c>
      <c r="S44" s="4">
        <f>transform!CH45</f>
        <v>1</v>
      </c>
      <c r="T44" s="4">
        <f>transform!CI45</f>
        <v>0</v>
      </c>
      <c r="U44" s="4">
        <f>transform!CJ45</f>
        <v>2</v>
      </c>
      <c r="V44" s="4">
        <f t="shared" si="39"/>
        <v>0</v>
      </c>
      <c r="W44" s="4">
        <f t="shared" si="40"/>
        <v>0</v>
      </c>
      <c r="X44" s="4">
        <f t="shared" si="41"/>
        <v>1</v>
      </c>
      <c r="Y44" s="4">
        <f>transform!CK45</f>
        <v>2</v>
      </c>
      <c r="Z44" s="4">
        <f>transform!CL45</f>
        <v>1</v>
      </c>
      <c r="AA44" s="4">
        <f>transform!CM45</f>
        <v>2</v>
      </c>
      <c r="AB44" s="4">
        <f t="shared" si="42"/>
        <v>0</v>
      </c>
      <c r="AC44" s="4">
        <f t="shared" si="43"/>
        <v>1</v>
      </c>
      <c r="AD44" s="4">
        <f t="shared" si="44"/>
        <v>3</v>
      </c>
      <c r="AE44" s="4">
        <f>transform!CN45</f>
        <v>1</v>
      </c>
      <c r="AF44" s="4">
        <f>transform!CO45</f>
        <v>1</v>
      </c>
      <c r="AG44" s="4">
        <f>transform!CP45</f>
        <v>2</v>
      </c>
      <c r="AH44" s="4">
        <f t="shared" si="45"/>
        <v>0</v>
      </c>
      <c r="AI44" s="4">
        <f t="shared" si="46"/>
        <v>1</v>
      </c>
      <c r="AJ44" s="4">
        <f t="shared" si="47"/>
        <v>3</v>
      </c>
      <c r="AK44" s="4">
        <f>transform!CQ45</f>
        <v>1</v>
      </c>
      <c r="AL44" s="4">
        <f t="shared" si="9"/>
        <v>2</v>
      </c>
      <c r="AM44" s="4">
        <f t="shared" si="10"/>
        <v>1</v>
      </c>
      <c r="AN44" s="4">
        <f t="shared" si="11"/>
        <v>1</v>
      </c>
      <c r="AO44" s="4">
        <f t="shared" si="12"/>
        <v>1</v>
      </c>
      <c r="AP44" s="4">
        <f t="shared" si="13"/>
        <v>1</v>
      </c>
      <c r="AQ44" s="4">
        <f t="shared" si="14"/>
        <v>1</v>
      </c>
      <c r="AR44" s="4">
        <f t="shared" si="15"/>
        <v>2</v>
      </c>
      <c r="AS44" s="4">
        <f t="shared" si="16"/>
        <v>1</v>
      </c>
      <c r="AT44" s="4">
        <f t="shared" si="17"/>
        <v>2</v>
      </c>
      <c r="AU44" s="4">
        <f t="shared" si="18"/>
        <v>1</v>
      </c>
      <c r="AV44" s="4">
        <f t="shared" si="19"/>
        <v>1</v>
      </c>
      <c r="AW44" s="4">
        <f t="shared" si="20"/>
        <v>1</v>
      </c>
      <c r="AX44" s="4">
        <f t="shared" si="21"/>
        <v>1</v>
      </c>
      <c r="AY44" s="4">
        <f t="shared" si="22"/>
        <v>2</v>
      </c>
      <c r="AZ44" s="4">
        <f t="shared" si="23"/>
        <v>1</v>
      </c>
      <c r="BA44" s="4">
        <f t="shared" si="24"/>
        <v>1</v>
      </c>
      <c r="BB44" s="4">
        <f t="shared" si="25"/>
        <v>1</v>
      </c>
      <c r="BC44" s="4">
        <f t="shared" si="26"/>
        <v>1</v>
      </c>
      <c r="BD44" s="4">
        <f t="shared" si="27"/>
        <v>1</v>
      </c>
      <c r="BE44" s="4">
        <f t="shared" si="28"/>
        <v>1</v>
      </c>
      <c r="BF44" s="4">
        <f t="shared" si="29"/>
        <v>1</v>
      </c>
      <c r="BG44" s="4">
        <f t="shared" si="30"/>
        <v>1</v>
      </c>
      <c r="BH44" s="4">
        <f t="shared" si="31"/>
        <v>1</v>
      </c>
      <c r="BI44" s="4">
        <f t="shared" si="32"/>
        <v>2</v>
      </c>
      <c r="BJ44" s="4">
        <f t="shared" si="33"/>
        <v>1</v>
      </c>
      <c r="BK44" s="4">
        <f t="shared" si="34"/>
        <v>1</v>
      </c>
      <c r="BL44" s="4">
        <f t="shared" si="35"/>
        <v>1</v>
      </c>
      <c r="BM44" s="4">
        <f t="shared" si="36"/>
        <v>1</v>
      </c>
      <c r="BN44" s="4">
        <f t="shared" si="37"/>
        <v>1</v>
      </c>
      <c r="BO44" s="4">
        <f t="shared" si="38"/>
        <v>2</v>
      </c>
    </row>
    <row r="45" spans="1:67">
      <c r="A45" s="4">
        <v>0</v>
      </c>
      <c r="B45" s="4">
        <f>transform!A46</f>
        <v>2</v>
      </c>
      <c r="C45" s="4">
        <f>transform!B46</f>
        <v>2</v>
      </c>
      <c r="D45" s="4">
        <f>transform!C46</f>
        <v>1</v>
      </c>
      <c r="E45" s="4">
        <f>transform!D46</f>
        <v>40876</v>
      </c>
      <c r="F45" s="4">
        <f>transform!E46</f>
        <v>1</v>
      </c>
      <c r="G45" s="4">
        <f>transform!F46</f>
        <v>1988</v>
      </c>
      <c r="H45" s="4">
        <f>transform!G46</f>
        <v>2</v>
      </c>
      <c r="I45" s="4">
        <f>transform!H46</f>
        <v>1</v>
      </c>
      <c r="J45" s="4">
        <f>COUNTIF(Raw!AR46:CA46,1)/(COUNTIF(Raw!AR46:CA46,1)+COUNTIF(Raw!AR46:CA46,0))</f>
        <v>0.0714285714285714</v>
      </c>
      <c r="K45" s="15">
        <v>0.25</v>
      </c>
      <c r="L45" s="15">
        <v>0</v>
      </c>
      <c r="M45" s="15">
        <v>1</v>
      </c>
      <c r="N45" s="4">
        <f>transform!CC46</f>
        <v>1</v>
      </c>
      <c r="O45" s="4">
        <f>transform!CD46</f>
        <v>2</v>
      </c>
      <c r="P45" s="4">
        <f>transform!CE46</f>
        <v>1</v>
      </c>
      <c r="Q45" s="4">
        <f>transform!CF46</f>
        <v>1</v>
      </c>
      <c r="R45" s="4">
        <f>transform!CG46</f>
        <v>1</v>
      </c>
      <c r="S45" s="4">
        <f>transform!CH46</f>
        <v>1</v>
      </c>
      <c r="T45" s="4">
        <f>transform!CI46</f>
        <v>1</v>
      </c>
      <c r="U45" s="4">
        <f>transform!CJ46</f>
        <v>2</v>
      </c>
      <c r="V45" s="4">
        <f t="shared" si="39"/>
        <v>0</v>
      </c>
      <c r="W45" s="4">
        <f t="shared" si="40"/>
        <v>1</v>
      </c>
      <c r="X45" s="4">
        <f t="shared" si="41"/>
        <v>3</v>
      </c>
      <c r="Y45" s="4">
        <f>transform!CK46</f>
        <v>1</v>
      </c>
      <c r="Z45" s="4">
        <f>transform!CL46</f>
        <v>1</v>
      </c>
      <c r="AA45" s="4">
        <f>transform!CM46</f>
        <v>2</v>
      </c>
      <c r="AB45" s="4">
        <f t="shared" si="42"/>
        <v>0</v>
      </c>
      <c r="AC45" s="4">
        <f t="shared" si="43"/>
        <v>1</v>
      </c>
      <c r="AD45" s="4">
        <f t="shared" si="44"/>
        <v>3</v>
      </c>
      <c r="AE45" s="4">
        <f>transform!CN46</f>
        <v>2</v>
      </c>
      <c r="AF45" s="4">
        <f>transform!CO46</f>
        <v>1</v>
      </c>
      <c r="AG45" s="4">
        <f>transform!CP46</f>
        <v>2</v>
      </c>
      <c r="AH45" s="4">
        <f t="shared" si="45"/>
        <v>0</v>
      </c>
      <c r="AI45" s="4">
        <f t="shared" si="46"/>
        <v>1</v>
      </c>
      <c r="AJ45" s="4">
        <f t="shared" si="47"/>
        <v>3</v>
      </c>
      <c r="AK45" s="4">
        <f>transform!CQ46</f>
        <v>2</v>
      </c>
      <c r="AL45" s="4">
        <f t="shared" si="9"/>
        <v>1</v>
      </c>
      <c r="AM45" s="4">
        <f t="shared" si="10"/>
        <v>1</v>
      </c>
      <c r="AN45" s="4">
        <f t="shared" si="11"/>
        <v>2</v>
      </c>
      <c r="AO45" s="4">
        <f t="shared" si="12"/>
        <v>1</v>
      </c>
      <c r="AP45" s="4">
        <f t="shared" si="13"/>
        <v>2</v>
      </c>
      <c r="AQ45" s="4">
        <f t="shared" si="14"/>
        <v>1</v>
      </c>
      <c r="AR45" s="4">
        <f t="shared" si="15"/>
        <v>1</v>
      </c>
      <c r="AS45" s="4">
        <f t="shared" si="16"/>
        <v>1</v>
      </c>
      <c r="AT45" s="4">
        <f t="shared" si="17"/>
        <v>2</v>
      </c>
      <c r="AU45" s="4">
        <f t="shared" si="18"/>
        <v>1</v>
      </c>
      <c r="AV45" s="4">
        <f t="shared" si="19"/>
        <v>1</v>
      </c>
      <c r="AW45" s="4">
        <f t="shared" si="20"/>
        <v>1</v>
      </c>
      <c r="AX45" s="4">
        <f t="shared" si="21"/>
        <v>1</v>
      </c>
      <c r="AY45" s="4">
        <f t="shared" si="22"/>
        <v>1</v>
      </c>
      <c r="AZ45" s="4">
        <f t="shared" si="23"/>
        <v>1</v>
      </c>
      <c r="BA45" s="4">
        <f t="shared" si="24"/>
        <v>1</v>
      </c>
      <c r="BB45" s="4">
        <f t="shared" si="25"/>
        <v>1</v>
      </c>
      <c r="BC45" s="4">
        <f t="shared" si="26"/>
        <v>2</v>
      </c>
      <c r="BD45" s="4">
        <f t="shared" si="27"/>
        <v>1</v>
      </c>
      <c r="BE45" s="4">
        <f t="shared" si="28"/>
        <v>1</v>
      </c>
      <c r="BF45" s="4">
        <f t="shared" si="29"/>
        <v>1</v>
      </c>
      <c r="BG45" s="4">
        <f t="shared" si="30"/>
        <v>2</v>
      </c>
      <c r="BH45" s="4">
        <f t="shared" si="31"/>
        <v>1</v>
      </c>
      <c r="BI45" s="4">
        <f t="shared" si="32"/>
        <v>1</v>
      </c>
      <c r="BJ45" s="4">
        <f t="shared" si="33"/>
        <v>1</v>
      </c>
      <c r="BK45" s="4">
        <f t="shared" si="34"/>
        <v>1</v>
      </c>
      <c r="BL45" s="4">
        <f t="shared" si="35"/>
        <v>1</v>
      </c>
      <c r="BM45" s="4">
        <f t="shared" si="36"/>
        <v>2</v>
      </c>
      <c r="BN45" s="4">
        <f t="shared" si="37"/>
        <v>1</v>
      </c>
      <c r="BO45" s="4">
        <f t="shared" si="38"/>
        <v>1</v>
      </c>
    </row>
    <row r="46" spans="1:67">
      <c r="A46" s="4">
        <v>0</v>
      </c>
      <c r="B46" s="4">
        <f>transform!A47</f>
        <v>2</v>
      </c>
      <c r="C46" s="4">
        <f>transform!B47</f>
        <v>2</v>
      </c>
      <c r="D46" s="4">
        <f>transform!C47</f>
        <v>2</v>
      </c>
      <c r="E46" s="4">
        <f>transform!D47</f>
        <v>40876</v>
      </c>
      <c r="F46" s="4">
        <f>transform!E47</f>
        <v>1</v>
      </c>
      <c r="G46" s="4">
        <f>transform!F47</f>
        <v>1992</v>
      </c>
      <c r="H46" s="4">
        <f>transform!G47</f>
        <v>1</v>
      </c>
      <c r="I46" s="4">
        <f>transform!H47</f>
        <v>1</v>
      </c>
      <c r="J46" s="4">
        <f>COUNTIF(Raw!AR47:CA47,1)/(COUNTIF(Raw!AR47:CA47,1)+COUNTIF(Raw!AR47:CA47,0))</f>
        <v>0.142857142857143</v>
      </c>
      <c r="K46" s="15">
        <v>0</v>
      </c>
      <c r="L46" s="15">
        <v>0</v>
      </c>
      <c r="M46" s="15">
        <v>0</v>
      </c>
      <c r="N46" s="4">
        <f>transform!CC47</f>
        <v>1</v>
      </c>
      <c r="O46" s="4">
        <f>transform!CD47</f>
        <v>2</v>
      </c>
      <c r="P46" s="4">
        <f>transform!CE47</f>
        <v>1</v>
      </c>
      <c r="Q46" s="4">
        <f>transform!CF47</f>
        <v>2</v>
      </c>
      <c r="R46" s="4">
        <f>transform!CG47</f>
        <v>1</v>
      </c>
      <c r="S46" s="4">
        <f>transform!CH47</f>
        <v>2</v>
      </c>
      <c r="T46" s="4">
        <f>transform!CI47</f>
        <v>1</v>
      </c>
      <c r="U46" s="4">
        <f>transform!CJ47</f>
        <v>1</v>
      </c>
      <c r="V46" s="4">
        <f t="shared" si="39"/>
        <v>1</v>
      </c>
      <c r="W46" s="4">
        <f t="shared" si="40"/>
        <v>0</v>
      </c>
      <c r="X46" s="4">
        <f t="shared" si="41"/>
        <v>2</v>
      </c>
      <c r="Y46" s="4">
        <f>transform!CK47</f>
        <v>2</v>
      </c>
      <c r="Z46" s="4">
        <f>transform!CL47</f>
        <v>1</v>
      </c>
      <c r="AA46" s="4">
        <f>transform!CM47</f>
        <v>1</v>
      </c>
      <c r="AB46" s="4">
        <f t="shared" si="42"/>
        <v>1</v>
      </c>
      <c r="AC46" s="4">
        <f t="shared" si="43"/>
        <v>0</v>
      </c>
      <c r="AD46" s="4">
        <f t="shared" si="44"/>
        <v>2</v>
      </c>
      <c r="AE46" s="4">
        <f>transform!CN47</f>
        <v>2</v>
      </c>
      <c r="AF46" s="4">
        <f>transform!CO47</f>
        <v>1</v>
      </c>
      <c r="AG46" s="4">
        <f>transform!CP47</f>
        <v>1</v>
      </c>
      <c r="AH46" s="4">
        <f t="shared" si="45"/>
        <v>1</v>
      </c>
      <c r="AI46" s="4">
        <f t="shared" si="46"/>
        <v>0</v>
      </c>
      <c r="AJ46" s="4">
        <f t="shared" si="47"/>
        <v>2</v>
      </c>
      <c r="AK46" s="4">
        <f>transform!CQ47</f>
        <v>2</v>
      </c>
      <c r="AL46" s="4">
        <f t="shared" si="9"/>
        <v>1</v>
      </c>
      <c r="AM46" s="4">
        <f t="shared" si="10"/>
        <v>1</v>
      </c>
      <c r="AN46" s="4">
        <f t="shared" si="11"/>
        <v>2</v>
      </c>
      <c r="AO46" s="4">
        <f t="shared" si="12"/>
        <v>1</v>
      </c>
      <c r="AP46" s="4">
        <f t="shared" si="13"/>
        <v>1</v>
      </c>
      <c r="AQ46" s="4">
        <f t="shared" si="14"/>
        <v>1</v>
      </c>
      <c r="AR46" s="4">
        <f t="shared" si="15"/>
        <v>2</v>
      </c>
      <c r="AS46" s="4">
        <f t="shared" si="16"/>
        <v>1</v>
      </c>
      <c r="AT46" s="4">
        <f t="shared" si="17"/>
        <v>1</v>
      </c>
      <c r="AU46" s="4">
        <f t="shared" si="18"/>
        <v>1</v>
      </c>
      <c r="AV46" s="4">
        <f t="shared" si="19"/>
        <v>2</v>
      </c>
      <c r="AW46" s="4">
        <f t="shared" si="20"/>
        <v>1</v>
      </c>
      <c r="AX46" s="4">
        <f t="shared" si="21"/>
        <v>1</v>
      </c>
      <c r="AY46" s="4">
        <f t="shared" si="22"/>
        <v>1</v>
      </c>
      <c r="AZ46" s="4">
        <f t="shared" si="23"/>
        <v>1</v>
      </c>
      <c r="BA46" s="4">
        <f t="shared" si="24"/>
        <v>1</v>
      </c>
      <c r="BB46" s="4">
        <f t="shared" si="25"/>
        <v>2</v>
      </c>
      <c r="BC46" s="4">
        <f t="shared" si="26"/>
        <v>1</v>
      </c>
      <c r="BD46" s="4">
        <f t="shared" si="27"/>
        <v>1</v>
      </c>
      <c r="BE46" s="4">
        <f t="shared" si="28"/>
        <v>1</v>
      </c>
      <c r="BF46" s="4">
        <f t="shared" si="29"/>
        <v>1</v>
      </c>
      <c r="BG46" s="4">
        <f t="shared" si="30"/>
        <v>1</v>
      </c>
      <c r="BH46" s="4">
        <f t="shared" si="31"/>
        <v>2</v>
      </c>
      <c r="BI46" s="4">
        <f t="shared" si="32"/>
        <v>1</v>
      </c>
      <c r="BJ46" s="4">
        <f t="shared" si="33"/>
        <v>1</v>
      </c>
      <c r="BK46" s="4">
        <f t="shared" si="34"/>
        <v>1</v>
      </c>
      <c r="BL46" s="4">
        <f t="shared" si="35"/>
        <v>1</v>
      </c>
      <c r="BM46" s="4">
        <f t="shared" si="36"/>
        <v>1</v>
      </c>
      <c r="BN46" s="4">
        <f t="shared" si="37"/>
        <v>2</v>
      </c>
      <c r="BO46" s="4">
        <f t="shared" si="38"/>
        <v>1</v>
      </c>
    </row>
    <row r="47" spans="1:67">
      <c r="A47" s="4">
        <v>0</v>
      </c>
      <c r="B47" s="4">
        <f>transform!A48</f>
        <v>2</v>
      </c>
      <c r="C47" s="4">
        <f>transform!B48</f>
        <v>2</v>
      </c>
      <c r="D47" s="4">
        <f>transform!C48</f>
        <v>3</v>
      </c>
      <c r="E47" s="4">
        <f>transform!D48</f>
        <v>40876</v>
      </c>
      <c r="F47" s="4">
        <f>transform!E48</f>
        <v>1</v>
      </c>
      <c r="G47" s="4">
        <f>transform!F48</f>
        <v>1992</v>
      </c>
      <c r="H47" s="4">
        <f>transform!G48</f>
        <v>1</v>
      </c>
      <c r="I47" s="4">
        <f>transform!H48</f>
        <v>2</v>
      </c>
      <c r="J47" s="4">
        <f>COUNTIF(Raw!AR48:CA48,1)/(COUNTIF(Raw!AR48:CA48,1)+COUNTIF(Raw!AR48:CA48,0))</f>
        <v>0.214285714285714</v>
      </c>
      <c r="K47" s="15">
        <v>0.25</v>
      </c>
      <c r="L47" s="15">
        <v>1</v>
      </c>
      <c r="M47" s="15">
        <v>1</v>
      </c>
      <c r="N47" s="4">
        <f>transform!CC48</f>
        <v>1</v>
      </c>
      <c r="O47" s="4">
        <f>transform!CD48</f>
        <v>1</v>
      </c>
      <c r="P47" s="4">
        <f>transform!CE48</f>
        <v>2</v>
      </c>
      <c r="Q47" s="4">
        <f>transform!CF48</f>
        <v>1</v>
      </c>
      <c r="R47" s="4">
        <f>transform!CG48</f>
        <v>1</v>
      </c>
      <c r="S47" s="4">
        <f>transform!CH48</f>
        <v>1</v>
      </c>
      <c r="T47" s="4">
        <f>transform!CI48</f>
        <v>1</v>
      </c>
      <c r="U47" s="4">
        <f>transform!CJ48</f>
        <v>2</v>
      </c>
      <c r="V47" s="4">
        <f t="shared" si="39"/>
        <v>0</v>
      </c>
      <c r="W47" s="4">
        <f t="shared" si="40"/>
        <v>1</v>
      </c>
      <c r="X47" s="4">
        <f t="shared" si="41"/>
        <v>3</v>
      </c>
      <c r="Y47" s="4">
        <f>transform!CK48</f>
        <v>2</v>
      </c>
      <c r="Z47" s="4">
        <f>transform!CL48</f>
        <v>1</v>
      </c>
      <c r="AA47" s="4">
        <f>transform!CM48</f>
        <v>2</v>
      </c>
      <c r="AB47" s="4">
        <f t="shared" si="42"/>
        <v>0</v>
      </c>
      <c r="AC47" s="4">
        <f t="shared" si="43"/>
        <v>1</v>
      </c>
      <c r="AD47" s="4">
        <f t="shared" si="44"/>
        <v>3</v>
      </c>
      <c r="AE47" s="4">
        <f>transform!CN48</f>
        <v>1</v>
      </c>
      <c r="AF47" s="4">
        <f>transform!CO48</f>
        <v>0</v>
      </c>
      <c r="AG47" s="4">
        <f>transform!CP48</f>
        <v>2</v>
      </c>
      <c r="AH47" s="4">
        <f t="shared" si="45"/>
        <v>0</v>
      </c>
      <c r="AI47" s="4">
        <f t="shared" si="46"/>
        <v>0</v>
      </c>
      <c r="AJ47" s="4">
        <f t="shared" si="47"/>
        <v>1</v>
      </c>
      <c r="AK47" s="4">
        <f>transform!CQ48</f>
        <v>1</v>
      </c>
      <c r="AL47" s="4">
        <f t="shared" si="9"/>
        <v>2</v>
      </c>
      <c r="AM47" s="4">
        <f t="shared" si="10"/>
        <v>1</v>
      </c>
      <c r="AN47" s="4">
        <f t="shared" si="11"/>
        <v>1</v>
      </c>
      <c r="AO47" s="4">
        <f t="shared" si="12"/>
        <v>1</v>
      </c>
      <c r="AP47" s="4">
        <f t="shared" si="13"/>
        <v>1</v>
      </c>
      <c r="AQ47" s="4">
        <f t="shared" si="14"/>
        <v>1</v>
      </c>
      <c r="AR47" s="4">
        <f t="shared" si="15"/>
        <v>1</v>
      </c>
      <c r="AS47" s="4">
        <f t="shared" si="16"/>
        <v>2</v>
      </c>
      <c r="AT47" s="4">
        <f t="shared" si="17"/>
        <v>2</v>
      </c>
      <c r="AU47" s="4">
        <f t="shared" si="18"/>
        <v>1</v>
      </c>
      <c r="AV47" s="4">
        <f t="shared" si="19"/>
        <v>1</v>
      </c>
      <c r="AW47" s="4">
        <f t="shared" si="20"/>
        <v>1</v>
      </c>
      <c r="AX47" s="4">
        <f t="shared" si="21"/>
        <v>1</v>
      </c>
      <c r="AY47" s="4">
        <f t="shared" si="22"/>
        <v>1</v>
      </c>
      <c r="AZ47" s="4">
        <f t="shared" si="23"/>
        <v>1</v>
      </c>
      <c r="BA47" s="4">
        <f t="shared" si="24"/>
        <v>2</v>
      </c>
      <c r="BB47" s="4">
        <f t="shared" si="25"/>
        <v>1</v>
      </c>
      <c r="BC47" s="4">
        <f t="shared" si="26"/>
        <v>1</v>
      </c>
      <c r="BD47" s="4">
        <f t="shared" si="27"/>
        <v>1</v>
      </c>
      <c r="BE47" s="4">
        <f t="shared" si="28"/>
        <v>1</v>
      </c>
      <c r="BF47" s="4">
        <f t="shared" si="29"/>
        <v>1</v>
      </c>
      <c r="BG47" s="4">
        <f t="shared" si="30"/>
        <v>1</v>
      </c>
      <c r="BH47" s="4">
        <f t="shared" si="31"/>
        <v>1</v>
      </c>
      <c r="BI47" s="4">
        <f t="shared" si="32"/>
        <v>2</v>
      </c>
      <c r="BJ47" s="4">
        <f t="shared" si="33"/>
        <v>2</v>
      </c>
      <c r="BK47" s="4">
        <f t="shared" si="34"/>
        <v>1</v>
      </c>
      <c r="BL47" s="4">
        <f t="shared" si="35"/>
        <v>1</v>
      </c>
      <c r="BM47" s="4">
        <f t="shared" si="36"/>
        <v>1</v>
      </c>
      <c r="BN47" s="4">
        <f t="shared" si="37"/>
        <v>1</v>
      </c>
      <c r="BO47" s="4">
        <f t="shared" si="38"/>
        <v>1</v>
      </c>
    </row>
    <row r="48" spans="1:67">
      <c r="A48" s="4">
        <v>0</v>
      </c>
      <c r="B48" s="4">
        <f>transform!A49</f>
        <v>2</v>
      </c>
      <c r="C48" s="4">
        <f>transform!B49</f>
        <v>2</v>
      </c>
      <c r="D48" s="4">
        <f>transform!C49</f>
        <v>4</v>
      </c>
      <c r="E48" s="4">
        <f>transform!D49</f>
        <v>40876</v>
      </c>
      <c r="F48" s="4">
        <f>transform!E49</f>
        <v>1</v>
      </c>
      <c r="G48" s="4">
        <f>transform!F49</f>
        <v>1990</v>
      </c>
      <c r="H48" s="4">
        <f>transform!G49</f>
        <v>1</v>
      </c>
      <c r="I48" s="4">
        <f>transform!H49</f>
        <v>2</v>
      </c>
      <c r="J48" s="4">
        <f>COUNTIF(Raw!AR49:CA49,1)/(COUNTIF(Raw!AR49:CA49,1)+COUNTIF(Raw!AR49:CA49,0))</f>
        <v>0.392857142857143</v>
      </c>
      <c r="K48" s="15">
        <v>0.375</v>
      </c>
      <c r="L48" s="15">
        <v>1</v>
      </c>
      <c r="M48" s="15">
        <v>1</v>
      </c>
      <c r="N48" s="4">
        <f>transform!CC49</f>
        <v>2</v>
      </c>
      <c r="O48" s="4">
        <f>transform!CD49</f>
        <v>2</v>
      </c>
      <c r="P48" s="4">
        <f>transform!CE49</f>
        <v>2</v>
      </c>
      <c r="Q48" s="4">
        <f>transform!CF49</f>
        <v>2</v>
      </c>
      <c r="R48" s="4">
        <f>transform!CG49</f>
        <v>2</v>
      </c>
      <c r="S48" s="4">
        <f>transform!CH49</f>
        <v>2</v>
      </c>
      <c r="T48" s="4">
        <f>transform!CI49</f>
        <v>1</v>
      </c>
      <c r="U48" s="4">
        <f>transform!CJ49</f>
        <v>2</v>
      </c>
      <c r="V48" s="4">
        <f t="shared" si="39"/>
        <v>0</v>
      </c>
      <c r="W48" s="4">
        <f t="shared" si="40"/>
        <v>1</v>
      </c>
      <c r="X48" s="4">
        <f t="shared" si="41"/>
        <v>3</v>
      </c>
      <c r="Y48" s="4">
        <f>transform!CK49</f>
        <v>2</v>
      </c>
      <c r="Z48" s="4">
        <f>transform!CL49</f>
        <v>1</v>
      </c>
      <c r="AA48" s="4">
        <f>transform!CM49</f>
        <v>2</v>
      </c>
      <c r="AB48" s="4">
        <f t="shared" si="42"/>
        <v>0</v>
      </c>
      <c r="AC48" s="4">
        <f t="shared" si="43"/>
        <v>1</v>
      </c>
      <c r="AD48" s="4">
        <f t="shared" si="44"/>
        <v>3</v>
      </c>
      <c r="AE48" s="4">
        <f>transform!CN49</f>
        <v>2</v>
      </c>
      <c r="AF48" s="4">
        <f>transform!CO49</f>
        <v>1</v>
      </c>
      <c r="AG48" s="4">
        <f>transform!CP49</f>
        <v>2</v>
      </c>
      <c r="AH48" s="4">
        <f t="shared" si="45"/>
        <v>0</v>
      </c>
      <c r="AI48" s="4">
        <f t="shared" si="46"/>
        <v>1</v>
      </c>
      <c r="AJ48" s="4">
        <f t="shared" si="47"/>
        <v>3</v>
      </c>
      <c r="AK48" s="4">
        <f>transform!CQ49</f>
        <v>2</v>
      </c>
      <c r="AL48" s="4">
        <f t="shared" si="9"/>
        <v>1</v>
      </c>
      <c r="AM48" s="4">
        <f t="shared" si="10"/>
        <v>2</v>
      </c>
      <c r="AN48" s="4">
        <f t="shared" si="11"/>
        <v>1</v>
      </c>
      <c r="AO48" s="4">
        <f t="shared" si="12"/>
        <v>1</v>
      </c>
      <c r="AP48" s="4">
        <f t="shared" si="13"/>
        <v>1</v>
      </c>
      <c r="AQ48" s="4">
        <f t="shared" si="14"/>
        <v>2</v>
      </c>
      <c r="AR48" s="4">
        <f t="shared" si="15"/>
        <v>1</v>
      </c>
      <c r="AS48" s="4">
        <f t="shared" si="16"/>
        <v>1</v>
      </c>
      <c r="AT48" s="4">
        <f t="shared" si="17"/>
        <v>1</v>
      </c>
      <c r="AU48" s="4">
        <f t="shared" si="18"/>
        <v>2</v>
      </c>
      <c r="AV48" s="4">
        <f t="shared" si="19"/>
        <v>1</v>
      </c>
      <c r="AW48" s="4">
        <f t="shared" si="20"/>
        <v>1</v>
      </c>
      <c r="AX48" s="4">
        <f t="shared" si="21"/>
        <v>1</v>
      </c>
      <c r="AY48" s="4">
        <f t="shared" si="22"/>
        <v>1</v>
      </c>
      <c r="AZ48" s="4">
        <f t="shared" si="23"/>
        <v>1</v>
      </c>
      <c r="BA48" s="4">
        <f t="shared" si="24"/>
        <v>2</v>
      </c>
      <c r="BB48" s="4">
        <f t="shared" si="25"/>
        <v>1</v>
      </c>
      <c r="BC48" s="4">
        <f t="shared" si="26"/>
        <v>1</v>
      </c>
      <c r="BD48" s="4">
        <f t="shared" si="27"/>
        <v>1</v>
      </c>
      <c r="BE48" s="4">
        <f t="shared" si="28"/>
        <v>1</v>
      </c>
      <c r="BF48" s="4">
        <f t="shared" si="29"/>
        <v>1</v>
      </c>
      <c r="BG48" s="4">
        <f t="shared" si="30"/>
        <v>2</v>
      </c>
      <c r="BH48" s="4">
        <f t="shared" si="31"/>
        <v>1</v>
      </c>
      <c r="BI48" s="4">
        <f t="shared" si="32"/>
        <v>1</v>
      </c>
      <c r="BJ48" s="4">
        <f t="shared" si="33"/>
        <v>1</v>
      </c>
      <c r="BK48" s="4">
        <f t="shared" si="34"/>
        <v>1</v>
      </c>
      <c r="BL48" s="4">
        <f t="shared" si="35"/>
        <v>1</v>
      </c>
      <c r="BM48" s="4">
        <f t="shared" si="36"/>
        <v>2</v>
      </c>
      <c r="BN48" s="4">
        <f t="shared" si="37"/>
        <v>1</v>
      </c>
      <c r="BO48" s="4">
        <f t="shared" si="38"/>
        <v>1</v>
      </c>
    </row>
    <row r="49" spans="1:67">
      <c r="A49" s="4">
        <v>0</v>
      </c>
      <c r="B49" s="4">
        <f>transform!A50</f>
        <v>2</v>
      </c>
      <c r="C49" s="4">
        <f>transform!B50</f>
        <v>2</v>
      </c>
      <c r="D49" s="4">
        <f>transform!C50</f>
        <v>5</v>
      </c>
      <c r="E49" s="4">
        <f>transform!D50</f>
        <v>40876</v>
      </c>
      <c r="F49" s="4">
        <f>transform!E50</f>
        <v>1</v>
      </c>
      <c r="G49" s="4">
        <f>transform!F50</f>
        <v>1989</v>
      </c>
      <c r="H49" s="4">
        <f>transform!G50</f>
        <v>4</v>
      </c>
      <c r="I49" s="4">
        <f>transform!H50</f>
        <v>1</v>
      </c>
      <c r="J49" s="4">
        <f>COUNTIF(Raw!AR50:CA50,1)/(COUNTIF(Raw!AR50:CA50,1)+COUNTIF(Raw!AR50:CA50,0))</f>
        <v>0.178571428571429</v>
      </c>
      <c r="K49" s="15">
        <v>0.25</v>
      </c>
      <c r="L49" s="15">
        <v>0</v>
      </c>
      <c r="M49" s="15">
        <v>1</v>
      </c>
      <c r="N49" s="4">
        <f>transform!CC50</f>
        <v>1</v>
      </c>
      <c r="O49" s="4">
        <f>transform!CD50</f>
        <v>2</v>
      </c>
      <c r="P49" s="4">
        <f>transform!CE50</f>
        <v>2</v>
      </c>
      <c r="Q49" s="4">
        <f>transform!CF50</f>
        <v>2</v>
      </c>
      <c r="R49" s="4">
        <f>transform!CG50</f>
        <v>1</v>
      </c>
      <c r="S49" s="4">
        <f>transform!CH50</f>
        <v>2</v>
      </c>
      <c r="T49" s="4">
        <f>transform!CI50</f>
        <v>1</v>
      </c>
      <c r="U49" s="4">
        <f>transform!CJ50</f>
        <v>1</v>
      </c>
      <c r="V49" s="4">
        <f t="shared" si="39"/>
        <v>1</v>
      </c>
      <c r="W49" s="4">
        <f t="shared" si="40"/>
        <v>0</v>
      </c>
      <c r="X49" s="4">
        <f t="shared" si="41"/>
        <v>2</v>
      </c>
      <c r="Y49" s="4">
        <f>transform!CK50</f>
        <v>2</v>
      </c>
      <c r="Z49" s="4">
        <f>transform!CL50</f>
        <v>0</v>
      </c>
      <c r="AA49" s="4">
        <f>transform!CM50</f>
        <v>1</v>
      </c>
      <c r="AB49" s="4">
        <f t="shared" si="42"/>
        <v>0</v>
      </c>
      <c r="AC49" s="4">
        <f t="shared" si="43"/>
        <v>0</v>
      </c>
      <c r="AD49" s="4">
        <f t="shared" si="44"/>
        <v>1</v>
      </c>
      <c r="AE49" s="4">
        <f>transform!CN50</f>
        <v>2</v>
      </c>
      <c r="AF49" s="4">
        <f>transform!CO50</f>
        <v>1</v>
      </c>
      <c r="AG49" s="4">
        <f>transform!CP50</f>
        <v>1</v>
      </c>
      <c r="AH49" s="4">
        <f t="shared" si="45"/>
        <v>1</v>
      </c>
      <c r="AI49" s="4">
        <f t="shared" si="46"/>
        <v>0</v>
      </c>
      <c r="AJ49" s="4">
        <f t="shared" si="47"/>
        <v>2</v>
      </c>
      <c r="AK49" s="4">
        <f>transform!CQ50</f>
        <v>2</v>
      </c>
      <c r="AL49" s="4">
        <f t="shared" si="9"/>
        <v>1</v>
      </c>
      <c r="AM49" s="4">
        <f t="shared" si="10"/>
        <v>1</v>
      </c>
      <c r="AN49" s="4">
        <f t="shared" si="11"/>
        <v>2</v>
      </c>
      <c r="AO49" s="4">
        <f t="shared" si="12"/>
        <v>1</v>
      </c>
      <c r="AP49" s="4">
        <f t="shared" si="13"/>
        <v>1</v>
      </c>
      <c r="AQ49" s="4">
        <f t="shared" si="14"/>
        <v>2</v>
      </c>
      <c r="AR49" s="4">
        <f t="shared" si="15"/>
        <v>1</v>
      </c>
      <c r="AS49" s="4">
        <f t="shared" si="16"/>
        <v>1</v>
      </c>
      <c r="AT49" s="4">
        <f t="shared" si="17"/>
        <v>1</v>
      </c>
      <c r="AU49" s="4">
        <f t="shared" si="18"/>
        <v>1</v>
      </c>
      <c r="AV49" s="4">
        <f t="shared" si="19"/>
        <v>2</v>
      </c>
      <c r="AW49" s="4">
        <f t="shared" si="20"/>
        <v>1</v>
      </c>
      <c r="AX49" s="4">
        <f t="shared" si="21"/>
        <v>1</v>
      </c>
      <c r="AY49" s="4">
        <f t="shared" si="22"/>
        <v>1</v>
      </c>
      <c r="AZ49" s="4">
        <f t="shared" si="23"/>
        <v>1</v>
      </c>
      <c r="BA49" s="4">
        <f t="shared" si="24"/>
        <v>1</v>
      </c>
      <c r="BB49" s="4">
        <f t="shared" si="25"/>
        <v>2</v>
      </c>
      <c r="BC49" s="4">
        <f t="shared" si="26"/>
        <v>1</v>
      </c>
      <c r="BD49" s="4">
        <f t="shared" si="27"/>
        <v>1</v>
      </c>
      <c r="BE49" s="4">
        <f t="shared" si="28"/>
        <v>2</v>
      </c>
      <c r="BF49" s="4">
        <f t="shared" si="29"/>
        <v>1</v>
      </c>
      <c r="BG49" s="4">
        <f t="shared" si="30"/>
        <v>1</v>
      </c>
      <c r="BH49" s="4">
        <f t="shared" si="31"/>
        <v>1</v>
      </c>
      <c r="BI49" s="4">
        <f t="shared" si="32"/>
        <v>1</v>
      </c>
      <c r="BJ49" s="4">
        <f t="shared" si="33"/>
        <v>1</v>
      </c>
      <c r="BK49" s="4">
        <f t="shared" si="34"/>
        <v>1</v>
      </c>
      <c r="BL49" s="4">
        <f t="shared" si="35"/>
        <v>1</v>
      </c>
      <c r="BM49" s="4">
        <f t="shared" si="36"/>
        <v>1</v>
      </c>
      <c r="BN49" s="4">
        <f t="shared" si="37"/>
        <v>2</v>
      </c>
      <c r="BO49" s="4">
        <f t="shared" si="38"/>
        <v>1</v>
      </c>
    </row>
    <row r="50" spans="1:67">
      <c r="A50" s="4">
        <v>0</v>
      </c>
      <c r="B50" s="4">
        <f>transform!A51</f>
        <v>2</v>
      </c>
      <c r="C50" s="4">
        <f>transform!B51</f>
        <v>2</v>
      </c>
      <c r="D50" s="4">
        <f>transform!C51</f>
        <v>6</v>
      </c>
      <c r="E50" s="4">
        <f>transform!D51</f>
        <v>40876</v>
      </c>
      <c r="F50" s="4">
        <f>transform!E51</f>
        <v>1</v>
      </c>
      <c r="G50" s="4">
        <f>transform!F51</f>
        <v>1985</v>
      </c>
      <c r="H50" s="4">
        <f>transform!G51</f>
        <v>4</v>
      </c>
      <c r="I50" s="4">
        <f>transform!H51</f>
        <v>2</v>
      </c>
      <c r="J50" s="4">
        <f>COUNTIF(Raw!AR51:CA51,1)/(COUNTIF(Raw!AR51:CA51,1)+COUNTIF(Raw!AR51:CA51,0))</f>
        <v>0.107142857142857</v>
      </c>
      <c r="K50" s="15">
        <v>0</v>
      </c>
      <c r="L50" s="15">
        <v>0</v>
      </c>
      <c r="M50" s="15">
        <v>0</v>
      </c>
      <c r="N50" s="4">
        <f>transform!CC51</f>
        <v>1</v>
      </c>
      <c r="O50" s="4">
        <f>transform!CD51</f>
        <v>2</v>
      </c>
      <c r="P50" s="4">
        <f>transform!CE51</f>
        <v>1</v>
      </c>
      <c r="Q50" s="4">
        <f>transform!CF51</f>
        <v>2</v>
      </c>
      <c r="R50" s="4">
        <f>transform!CG51</f>
        <v>1</v>
      </c>
      <c r="S50" s="4">
        <f>transform!CH51</f>
        <v>2</v>
      </c>
      <c r="T50" s="4">
        <f>transform!CI51</f>
        <v>1</v>
      </c>
      <c r="U50" s="4">
        <f>transform!CJ51</f>
        <v>2</v>
      </c>
      <c r="V50" s="4">
        <f t="shared" si="39"/>
        <v>0</v>
      </c>
      <c r="W50" s="4">
        <f t="shared" si="40"/>
        <v>1</v>
      </c>
      <c r="X50" s="4">
        <f t="shared" si="41"/>
        <v>3</v>
      </c>
      <c r="Y50" s="4">
        <f>transform!CK51</f>
        <v>1</v>
      </c>
      <c r="Z50" s="4">
        <f>transform!CL51</f>
        <v>1</v>
      </c>
      <c r="AA50" s="4">
        <f>transform!CM51</f>
        <v>2</v>
      </c>
      <c r="AB50" s="4">
        <f t="shared" si="42"/>
        <v>0</v>
      </c>
      <c r="AC50" s="4">
        <f t="shared" si="43"/>
        <v>1</v>
      </c>
      <c r="AD50" s="4">
        <f t="shared" si="44"/>
        <v>3</v>
      </c>
      <c r="AE50" s="4">
        <f>transform!CN51</f>
        <v>1</v>
      </c>
      <c r="AF50" s="4">
        <f>transform!CO51</f>
        <v>1</v>
      </c>
      <c r="AG50" s="4">
        <f>transform!CP51</f>
        <v>2</v>
      </c>
      <c r="AH50" s="4">
        <f t="shared" si="45"/>
        <v>0</v>
      </c>
      <c r="AI50" s="4">
        <f t="shared" si="46"/>
        <v>1</v>
      </c>
      <c r="AJ50" s="4">
        <f t="shared" si="47"/>
        <v>3</v>
      </c>
      <c r="AK50" s="4">
        <f>transform!CQ51</f>
        <v>1</v>
      </c>
      <c r="AL50" s="4">
        <f t="shared" si="9"/>
        <v>1</v>
      </c>
      <c r="AM50" s="4">
        <f t="shared" si="10"/>
        <v>1</v>
      </c>
      <c r="AN50" s="4">
        <f t="shared" si="11"/>
        <v>2</v>
      </c>
      <c r="AO50" s="4">
        <f t="shared" si="12"/>
        <v>1</v>
      </c>
      <c r="AP50" s="4">
        <f t="shared" si="13"/>
        <v>1</v>
      </c>
      <c r="AQ50" s="4">
        <f t="shared" si="14"/>
        <v>1</v>
      </c>
      <c r="AR50" s="4">
        <f t="shared" si="15"/>
        <v>2</v>
      </c>
      <c r="AS50" s="4">
        <f t="shared" si="16"/>
        <v>1</v>
      </c>
      <c r="AT50" s="4">
        <f t="shared" si="17"/>
        <v>1</v>
      </c>
      <c r="AU50" s="4">
        <f t="shared" si="18"/>
        <v>1</v>
      </c>
      <c r="AV50" s="4">
        <f t="shared" si="19"/>
        <v>2</v>
      </c>
      <c r="AW50" s="4">
        <f t="shared" si="20"/>
        <v>1</v>
      </c>
      <c r="AX50" s="4">
        <f t="shared" si="21"/>
        <v>1</v>
      </c>
      <c r="AY50" s="4">
        <f t="shared" si="22"/>
        <v>1</v>
      </c>
      <c r="AZ50" s="4">
        <f t="shared" si="23"/>
        <v>1</v>
      </c>
      <c r="BA50" s="4">
        <f t="shared" si="24"/>
        <v>1</v>
      </c>
      <c r="BB50" s="4">
        <f t="shared" si="25"/>
        <v>1</v>
      </c>
      <c r="BC50" s="4">
        <f t="shared" si="26"/>
        <v>2</v>
      </c>
      <c r="BD50" s="4">
        <f t="shared" si="27"/>
        <v>1</v>
      </c>
      <c r="BE50" s="4">
        <f t="shared" si="28"/>
        <v>1</v>
      </c>
      <c r="BF50" s="4">
        <f t="shared" si="29"/>
        <v>1</v>
      </c>
      <c r="BG50" s="4">
        <f t="shared" si="30"/>
        <v>1</v>
      </c>
      <c r="BH50" s="4">
        <f t="shared" si="31"/>
        <v>1</v>
      </c>
      <c r="BI50" s="4">
        <f t="shared" si="32"/>
        <v>2</v>
      </c>
      <c r="BJ50" s="4">
        <f t="shared" si="33"/>
        <v>1</v>
      </c>
      <c r="BK50" s="4">
        <f t="shared" si="34"/>
        <v>1</v>
      </c>
      <c r="BL50" s="4">
        <f t="shared" si="35"/>
        <v>1</v>
      </c>
      <c r="BM50" s="4">
        <f t="shared" si="36"/>
        <v>1</v>
      </c>
      <c r="BN50" s="4">
        <f t="shared" si="37"/>
        <v>1</v>
      </c>
      <c r="BO50" s="4">
        <f t="shared" si="38"/>
        <v>2</v>
      </c>
    </row>
    <row r="51" spans="1:67">
      <c r="A51" s="4">
        <v>0</v>
      </c>
      <c r="B51" s="4">
        <f>transform!A52</f>
        <v>2</v>
      </c>
      <c r="C51" s="4">
        <f>transform!B52</f>
        <v>2</v>
      </c>
      <c r="D51" s="4">
        <f>transform!C52</f>
        <v>7</v>
      </c>
      <c r="E51" s="4">
        <f>transform!D52</f>
        <v>40882</v>
      </c>
      <c r="F51" s="4">
        <f>transform!E52</f>
        <v>1</v>
      </c>
      <c r="G51" s="4">
        <f>transform!F52</f>
        <v>1990</v>
      </c>
      <c r="H51" s="4">
        <f>transform!G52</f>
        <v>1</v>
      </c>
      <c r="I51" s="4">
        <f>transform!H52</f>
        <v>1</v>
      </c>
      <c r="J51" s="4">
        <f>COUNTIF(Raw!AR52:CA52,1)/(COUNTIF(Raw!AR52:CA52,1)+COUNTIF(Raw!AR52:CA52,0))</f>
        <v>0.428571428571429</v>
      </c>
      <c r="K51" s="15">
        <v>0</v>
      </c>
      <c r="L51" s="15">
        <v>1</v>
      </c>
      <c r="M51" s="15">
        <v>0</v>
      </c>
      <c r="N51" s="4">
        <f>transform!CC52</f>
        <v>2</v>
      </c>
      <c r="O51" s="4">
        <f>transform!CD52</f>
        <v>2</v>
      </c>
      <c r="P51" s="4">
        <f>transform!CE52</f>
        <v>2</v>
      </c>
      <c r="Q51" s="4">
        <f>transform!CF52</f>
        <v>2</v>
      </c>
      <c r="R51" s="4">
        <f>transform!CG52</f>
        <v>1</v>
      </c>
      <c r="S51" s="4">
        <f>transform!CH52</f>
        <v>2</v>
      </c>
      <c r="T51" s="4">
        <f>transform!CI52</f>
        <v>0</v>
      </c>
      <c r="U51" s="4">
        <f>transform!CJ52</f>
        <v>1</v>
      </c>
      <c r="V51" s="4">
        <f t="shared" si="39"/>
        <v>0</v>
      </c>
      <c r="W51" s="4">
        <f t="shared" si="40"/>
        <v>0</v>
      </c>
      <c r="X51" s="4">
        <f t="shared" si="41"/>
        <v>1</v>
      </c>
      <c r="Y51" s="4">
        <f>transform!CK52</f>
        <v>2</v>
      </c>
      <c r="Z51" s="4">
        <f>transform!CL52</f>
        <v>0</v>
      </c>
      <c r="AA51" s="4">
        <f>transform!CM52</f>
        <v>1</v>
      </c>
      <c r="AB51" s="4">
        <f t="shared" si="42"/>
        <v>0</v>
      </c>
      <c r="AC51" s="4">
        <f t="shared" si="43"/>
        <v>0</v>
      </c>
      <c r="AD51" s="4">
        <f t="shared" si="44"/>
        <v>1</v>
      </c>
      <c r="AE51" s="4">
        <f>transform!CN52</f>
        <v>1</v>
      </c>
      <c r="AF51" s="4">
        <f>transform!CO52</f>
        <v>1</v>
      </c>
      <c r="AG51" s="4">
        <f>transform!CP52</f>
        <v>1</v>
      </c>
      <c r="AH51" s="4">
        <f t="shared" si="45"/>
        <v>1</v>
      </c>
      <c r="AI51" s="4">
        <f t="shared" si="46"/>
        <v>0</v>
      </c>
      <c r="AJ51" s="4">
        <f t="shared" si="47"/>
        <v>2</v>
      </c>
      <c r="AK51" s="4">
        <f>transform!CQ52</f>
        <v>1</v>
      </c>
      <c r="AL51" s="4">
        <f t="shared" si="9"/>
        <v>1</v>
      </c>
      <c r="AM51" s="4">
        <f t="shared" si="10"/>
        <v>2</v>
      </c>
      <c r="AN51" s="4">
        <f t="shared" si="11"/>
        <v>1</v>
      </c>
      <c r="AO51" s="4">
        <f t="shared" si="12"/>
        <v>1</v>
      </c>
      <c r="AP51" s="4">
        <f t="shared" si="13"/>
        <v>1</v>
      </c>
      <c r="AQ51" s="4">
        <f t="shared" si="14"/>
        <v>2</v>
      </c>
      <c r="AR51" s="4">
        <f t="shared" si="15"/>
        <v>1</v>
      </c>
      <c r="AS51" s="4">
        <f t="shared" si="16"/>
        <v>1</v>
      </c>
      <c r="AT51" s="4">
        <f t="shared" si="17"/>
        <v>1</v>
      </c>
      <c r="AU51" s="4">
        <f t="shared" si="18"/>
        <v>1</v>
      </c>
      <c r="AV51" s="4">
        <f t="shared" si="19"/>
        <v>2</v>
      </c>
      <c r="AW51" s="4">
        <f t="shared" si="20"/>
        <v>1</v>
      </c>
      <c r="AX51" s="4">
        <f t="shared" si="21"/>
        <v>1</v>
      </c>
      <c r="AY51" s="4">
        <f t="shared" si="22"/>
        <v>2</v>
      </c>
      <c r="AZ51" s="4">
        <f t="shared" si="23"/>
        <v>1</v>
      </c>
      <c r="BA51" s="4">
        <f t="shared" si="24"/>
        <v>1</v>
      </c>
      <c r="BB51" s="4">
        <f t="shared" si="25"/>
        <v>1</v>
      </c>
      <c r="BC51" s="4">
        <f t="shared" si="26"/>
        <v>1</v>
      </c>
      <c r="BD51" s="4">
        <f t="shared" si="27"/>
        <v>2</v>
      </c>
      <c r="BE51" s="4">
        <f t="shared" si="28"/>
        <v>1</v>
      </c>
      <c r="BF51" s="4">
        <f t="shared" si="29"/>
        <v>1</v>
      </c>
      <c r="BG51" s="4">
        <f t="shared" si="30"/>
        <v>1</v>
      </c>
      <c r="BH51" s="4">
        <f t="shared" si="31"/>
        <v>1</v>
      </c>
      <c r="BI51" s="4">
        <f t="shared" si="32"/>
        <v>1</v>
      </c>
      <c r="BJ51" s="4">
        <f t="shared" si="33"/>
        <v>1</v>
      </c>
      <c r="BK51" s="4">
        <f t="shared" si="34"/>
        <v>1</v>
      </c>
      <c r="BL51" s="4">
        <f t="shared" si="35"/>
        <v>2</v>
      </c>
      <c r="BM51" s="4">
        <f t="shared" si="36"/>
        <v>1</v>
      </c>
      <c r="BN51" s="4">
        <f t="shared" si="37"/>
        <v>1</v>
      </c>
      <c r="BO51" s="4">
        <f t="shared" si="38"/>
        <v>1</v>
      </c>
    </row>
    <row r="52" spans="1:67">
      <c r="A52" s="4">
        <v>0</v>
      </c>
      <c r="B52" s="4">
        <f>transform!A53</f>
        <v>2</v>
      </c>
      <c r="C52" s="4">
        <f>transform!B53</f>
        <v>2</v>
      </c>
      <c r="D52" s="4">
        <f>transform!C53</f>
        <v>8</v>
      </c>
      <c r="E52" s="4">
        <f>transform!D53</f>
        <v>40876</v>
      </c>
      <c r="F52" s="4">
        <f>transform!E53</f>
        <v>1</v>
      </c>
      <c r="G52" s="4">
        <f>transform!F53</f>
        <v>1993</v>
      </c>
      <c r="H52" s="4">
        <f>transform!G53</f>
        <v>1</v>
      </c>
      <c r="I52" s="4">
        <f>transform!H53</f>
        <v>1</v>
      </c>
      <c r="J52" s="4">
        <f>COUNTIF(Raw!AR53:CA53,1)/(COUNTIF(Raw!AR53:CA53,1)+COUNTIF(Raw!AR53:CA53,0))</f>
        <v>0.233333333333333</v>
      </c>
      <c r="K52" s="15">
        <v>0.25</v>
      </c>
      <c r="L52" s="15">
        <v>1</v>
      </c>
      <c r="M52" s="15">
        <v>1</v>
      </c>
      <c r="N52" s="4">
        <f>transform!CC53</f>
        <v>2</v>
      </c>
      <c r="O52" s="4">
        <f>transform!CD53</f>
        <v>2</v>
      </c>
      <c r="P52" s="4">
        <f>transform!CE53</f>
        <v>2</v>
      </c>
      <c r="Q52" s="4">
        <f>transform!CF53</f>
        <v>2</v>
      </c>
      <c r="R52" s="4">
        <f>transform!CG53</f>
        <v>2</v>
      </c>
      <c r="S52" s="4">
        <f>transform!CH53</f>
        <v>2</v>
      </c>
      <c r="T52" s="4">
        <f>transform!CI53</f>
        <v>1</v>
      </c>
      <c r="U52" s="4">
        <f>transform!CJ53</f>
        <v>2</v>
      </c>
      <c r="V52" s="4">
        <f t="shared" si="39"/>
        <v>0</v>
      </c>
      <c r="W52" s="4">
        <f t="shared" si="40"/>
        <v>1</v>
      </c>
      <c r="X52" s="4">
        <f t="shared" si="41"/>
        <v>3</v>
      </c>
      <c r="Y52" s="4">
        <f>transform!CK53</f>
        <v>2</v>
      </c>
      <c r="Z52" s="4">
        <f>transform!CL53</f>
        <v>0</v>
      </c>
      <c r="AA52" s="4">
        <f>transform!CM53</f>
        <v>2</v>
      </c>
      <c r="AB52" s="4">
        <f t="shared" si="42"/>
        <v>0</v>
      </c>
      <c r="AC52" s="4">
        <f t="shared" si="43"/>
        <v>0</v>
      </c>
      <c r="AD52" s="4">
        <f t="shared" si="44"/>
        <v>1</v>
      </c>
      <c r="AE52" s="4">
        <f>transform!CN53</f>
        <v>1</v>
      </c>
      <c r="AF52" s="4">
        <f>transform!CO53</f>
        <v>1</v>
      </c>
      <c r="AG52" s="4">
        <f>transform!CP53</f>
        <v>1</v>
      </c>
      <c r="AH52" s="4">
        <f t="shared" si="45"/>
        <v>1</v>
      </c>
      <c r="AI52" s="4">
        <f t="shared" si="46"/>
        <v>0</v>
      </c>
      <c r="AJ52" s="4">
        <f t="shared" si="47"/>
        <v>2</v>
      </c>
      <c r="AK52" s="4">
        <f>transform!CQ53</f>
        <v>1</v>
      </c>
      <c r="AL52" s="4">
        <f t="shared" si="9"/>
        <v>1</v>
      </c>
      <c r="AM52" s="4">
        <f t="shared" si="10"/>
        <v>2</v>
      </c>
      <c r="AN52" s="4">
        <f t="shared" si="11"/>
        <v>1</v>
      </c>
      <c r="AO52" s="4">
        <f t="shared" si="12"/>
        <v>1</v>
      </c>
      <c r="AP52" s="4">
        <f t="shared" si="13"/>
        <v>1</v>
      </c>
      <c r="AQ52" s="4">
        <f t="shared" si="14"/>
        <v>2</v>
      </c>
      <c r="AR52" s="4">
        <f t="shared" si="15"/>
        <v>1</v>
      </c>
      <c r="AS52" s="4">
        <f t="shared" si="16"/>
        <v>1</v>
      </c>
      <c r="AT52" s="4">
        <f t="shared" si="17"/>
        <v>1</v>
      </c>
      <c r="AU52" s="4">
        <f t="shared" si="18"/>
        <v>2</v>
      </c>
      <c r="AV52" s="4">
        <f t="shared" si="19"/>
        <v>1</v>
      </c>
      <c r="AW52" s="4">
        <f t="shared" si="20"/>
        <v>1</v>
      </c>
      <c r="AX52" s="4">
        <f t="shared" si="21"/>
        <v>1</v>
      </c>
      <c r="AY52" s="4">
        <f t="shared" si="22"/>
        <v>1</v>
      </c>
      <c r="AZ52" s="4">
        <f t="shared" si="23"/>
        <v>1</v>
      </c>
      <c r="BA52" s="4">
        <f t="shared" si="24"/>
        <v>2</v>
      </c>
      <c r="BB52" s="4">
        <f t="shared" si="25"/>
        <v>1</v>
      </c>
      <c r="BC52" s="4">
        <f t="shared" si="26"/>
        <v>1</v>
      </c>
      <c r="BD52" s="4">
        <f t="shared" si="27"/>
        <v>2</v>
      </c>
      <c r="BE52" s="4">
        <f t="shared" si="28"/>
        <v>1</v>
      </c>
      <c r="BF52" s="4">
        <f t="shared" si="29"/>
        <v>1</v>
      </c>
      <c r="BG52" s="4">
        <f t="shared" si="30"/>
        <v>1</v>
      </c>
      <c r="BH52" s="4">
        <f t="shared" si="31"/>
        <v>1</v>
      </c>
      <c r="BI52" s="4">
        <f t="shared" si="32"/>
        <v>1</v>
      </c>
      <c r="BJ52" s="4">
        <f t="shared" si="33"/>
        <v>1</v>
      </c>
      <c r="BK52" s="4">
        <f t="shared" si="34"/>
        <v>1</v>
      </c>
      <c r="BL52" s="4">
        <f t="shared" si="35"/>
        <v>2</v>
      </c>
      <c r="BM52" s="4">
        <f t="shared" si="36"/>
        <v>1</v>
      </c>
      <c r="BN52" s="4">
        <f t="shared" si="37"/>
        <v>1</v>
      </c>
      <c r="BO52" s="4">
        <f t="shared" si="38"/>
        <v>1</v>
      </c>
    </row>
    <row r="53" spans="1:67">
      <c r="A53" s="4">
        <v>0</v>
      </c>
      <c r="B53" s="4">
        <f>transform!A54</f>
        <v>2</v>
      </c>
      <c r="C53" s="4">
        <f>transform!B54</f>
        <v>2</v>
      </c>
      <c r="D53" s="4">
        <f>transform!C54</f>
        <v>9</v>
      </c>
      <c r="E53" s="4">
        <f>transform!D54</f>
        <v>40876</v>
      </c>
      <c r="F53" s="4">
        <f>transform!E54</f>
        <v>1</v>
      </c>
      <c r="G53" s="4">
        <f>transform!F54</f>
        <v>1987</v>
      </c>
      <c r="H53" s="4">
        <f>transform!G54</f>
        <v>4</v>
      </c>
      <c r="I53" s="4">
        <f>transform!H54</f>
        <v>1</v>
      </c>
      <c r="J53" s="4">
        <f>COUNTIF(Raw!AR54:CA54,1)/(COUNTIF(Raw!AR54:CA54,1)+COUNTIF(Raw!AR54:CA54,0))</f>
        <v>0.0357142857142857</v>
      </c>
      <c r="K53" s="15">
        <v>0.142857142857143</v>
      </c>
      <c r="L53" s="15">
        <v>0</v>
      </c>
      <c r="M53" s="15">
        <v>0</v>
      </c>
      <c r="N53" s="4">
        <f>transform!CC54</f>
        <v>1</v>
      </c>
      <c r="O53" s="4">
        <f>transform!CD54</f>
        <v>2</v>
      </c>
      <c r="P53" s="4">
        <f>transform!CE54</f>
        <v>1</v>
      </c>
      <c r="Q53" s="4">
        <f>transform!CF54</f>
        <v>2</v>
      </c>
      <c r="R53" s="4">
        <f>transform!CG54</f>
        <v>1</v>
      </c>
      <c r="S53" s="4">
        <f>transform!CH54</f>
        <v>2</v>
      </c>
      <c r="T53" s="4">
        <f>transform!CI54</f>
        <v>0</v>
      </c>
      <c r="U53" s="4">
        <f>transform!CJ54</f>
        <v>1</v>
      </c>
      <c r="V53" s="4">
        <f t="shared" si="39"/>
        <v>0</v>
      </c>
      <c r="W53" s="4">
        <f t="shared" si="40"/>
        <v>0</v>
      </c>
      <c r="X53" s="4">
        <f t="shared" si="41"/>
        <v>1</v>
      </c>
      <c r="Y53" s="4">
        <f>transform!CK54</f>
        <v>2</v>
      </c>
      <c r="Z53" s="4">
        <f>transform!CL54</f>
        <v>0</v>
      </c>
      <c r="AA53" s="4">
        <f>transform!CM54</f>
        <v>1</v>
      </c>
      <c r="AB53" s="4">
        <f t="shared" si="42"/>
        <v>0</v>
      </c>
      <c r="AC53" s="4">
        <f t="shared" si="43"/>
        <v>0</v>
      </c>
      <c r="AD53" s="4">
        <f t="shared" si="44"/>
        <v>1</v>
      </c>
      <c r="AE53" s="4">
        <f>transform!CN54</f>
        <v>2</v>
      </c>
      <c r="AF53" s="4">
        <f>transform!CO54</f>
        <v>0</v>
      </c>
      <c r="AG53" s="4">
        <f>transform!CP54</f>
        <v>1</v>
      </c>
      <c r="AH53" s="4">
        <f t="shared" si="45"/>
        <v>0</v>
      </c>
      <c r="AI53" s="4">
        <f t="shared" si="46"/>
        <v>0</v>
      </c>
      <c r="AJ53" s="4">
        <f t="shared" si="47"/>
        <v>1</v>
      </c>
      <c r="AK53" s="4">
        <f>transform!CQ54</f>
        <v>2</v>
      </c>
      <c r="AL53" s="4">
        <f t="shared" si="9"/>
        <v>1</v>
      </c>
      <c r="AM53" s="4">
        <f t="shared" si="10"/>
        <v>1</v>
      </c>
      <c r="AN53" s="4">
        <f t="shared" si="11"/>
        <v>2</v>
      </c>
      <c r="AO53" s="4">
        <f t="shared" si="12"/>
        <v>1</v>
      </c>
      <c r="AP53" s="4">
        <f t="shared" si="13"/>
        <v>1</v>
      </c>
      <c r="AQ53" s="4">
        <f t="shared" si="14"/>
        <v>1</v>
      </c>
      <c r="AR53" s="4">
        <f t="shared" si="15"/>
        <v>2</v>
      </c>
      <c r="AS53" s="4">
        <f t="shared" si="16"/>
        <v>1</v>
      </c>
      <c r="AT53" s="4">
        <f t="shared" si="17"/>
        <v>1</v>
      </c>
      <c r="AU53" s="4">
        <f t="shared" si="18"/>
        <v>1</v>
      </c>
      <c r="AV53" s="4">
        <f t="shared" si="19"/>
        <v>2</v>
      </c>
      <c r="AW53" s="4">
        <f t="shared" si="20"/>
        <v>1</v>
      </c>
      <c r="AX53" s="4">
        <f t="shared" si="21"/>
        <v>1</v>
      </c>
      <c r="AY53" s="4">
        <f t="shared" si="22"/>
        <v>2</v>
      </c>
      <c r="AZ53" s="4">
        <f t="shared" si="23"/>
        <v>1</v>
      </c>
      <c r="BA53" s="4">
        <f t="shared" si="24"/>
        <v>1</v>
      </c>
      <c r="BB53" s="4">
        <f t="shared" si="25"/>
        <v>1</v>
      </c>
      <c r="BC53" s="4">
        <f t="shared" si="26"/>
        <v>1</v>
      </c>
      <c r="BD53" s="4">
        <f t="shared" si="27"/>
        <v>1</v>
      </c>
      <c r="BE53" s="4">
        <f t="shared" si="28"/>
        <v>2</v>
      </c>
      <c r="BF53" s="4">
        <f t="shared" si="29"/>
        <v>1</v>
      </c>
      <c r="BG53" s="4">
        <f t="shared" si="30"/>
        <v>1</v>
      </c>
      <c r="BH53" s="4">
        <f t="shared" si="31"/>
        <v>1</v>
      </c>
      <c r="BI53" s="4">
        <f t="shared" si="32"/>
        <v>1</v>
      </c>
      <c r="BJ53" s="4">
        <f t="shared" si="33"/>
        <v>1</v>
      </c>
      <c r="BK53" s="4">
        <f t="shared" si="34"/>
        <v>2</v>
      </c>
      <c r="BL53" s="4">
        <f t="shared" si="35"/>
        <v>1</v>
      </c>
      <c r="BM53" s="4">
        <f t="shared" si="36"/>
        <v>1</v>
      </c>
      <c r="BN53" s="4">
        <f t="shared" si="37"/>
        <v>1</v>
      </c>
      <c r="BO53" s="4">
        <f t="shared" si="38"/>
        <v>1</v>
      </c>
    </row>
    <row r="54" spans="1:67">
      <c r="A54" s="4">
        <v>0</v>
      </c>
      <c r="B54" s="4">
        <f>transform!A55</f>
        <v>3</v>
      </c>
      <c r="C54" s="4">
        <f>transform!B55</f>
        <v>2</v>
      </c>
      <c r="D54" s="4">
        <f>transform!C55</f>
        <v>1</v>
      </c>
      <c r="E54" s="4">
        <f>transform!D55</f>
        <v>40876</v>
      </c>
      <c r="F54" s="4">
        <f>transform!E55</f>
        <v>1</v>
      </c>
      <c r="G54" s="4">
        <f>transform!F55</f>
        <v>1988</v>
      </c>
      <c r="H54" s="4">
        <f>transform!G55</f>
        <v>5</v>
      </c>
      <c r="I54" s="4">
        <f>transform!H55</f>
        <v>1</v>
      </c>
      <c r="J54" s="4">
        <f>COUNTIF(Raw!AR55:CA55,1)/(COUNTIF(Raw!AR55:CA55,1)+COUNTIF(Raw!AR55:CA55,0))</f>
        <v>0.666666666666667</v>
      </c>
      <c r="K54" s="15">
        <v>0</v>
      </c>
      <c r="L54" s="15">
        <v>1</v>
      </c>
      <c r="M54" s="15">
        <v>0</v>
      </c>
      <c r="N54" s="4">
        <f>transform!CC55</f>
        <v>1</v>
      </c>
      <c r="O54" s="4">
        <f>transform!CD55</f>
        <v>2</v>
      </c>
      <c r="P54" s="4">
        <f>transform!CE55</f>
        <v>1</v>
      </c>
      <c r="Q54" s="4">
        <f>transform!CF55</f>
        <v>2</v>
      </c>
      <c r="R54" s="4">
        <f>transform!CG55</f>
        <v>1</v>
      </c>
      <c r="S54" s="4">
        <f>transform!CH55</f>
        <v>2</v>
      </c>
      <c r="T54" s="4">
        <f>transform!CI55</f>
        <v>0</v>
      </c>
      <c r="U54" s="4">
        <f>transform!CJ55</f>
        <v>1</v>
      </c>
      <c r="V54" s="4">
        <f t="shared" si="39"/>
        <v>0</v>
      </c>
      <c r="W54" s="4">
        <f t="shared" si="40"/>
        <v>0</v>
      </c>
      <c r="X54" s="4">
        <f t="shared" si="41"/>
        <v>1</v>
      </c>
      <c r="Y54" s="4">
        <f>transform!CK55</f>
        <v>2</v>
      </c>
      <c r="Z54" s="4">
        <f>transform!CL55</f>
        <v>0</v>
      </c>
      <c r="AA54" s="4">
        <f>transform!CM55</f>
        <v>1</v>
      </c>
      <c r="AB54" s="4">
        <f t="shared" si="42"/>
        <v>0</v>
      </c>
      <c r="AC54" s="4">
        <f t="shared" si="43"/>
        <v>0</v>
      </c>
      <c r="AD54" s="4">
        <f t="shared" si="44"/>
        <v>1</v>
      </c>
      <c r="AE54" s="4">
        <f>transform!CN55</f>
        <v>2</v>
      </c>
      <c r="AF54" s="4">
        <f>transform!CO55</f>
        <v>0</v>
      </c>
      <c r="AG54" s="4">
        <f>transform!CP55</f>
        <v>1</v>
      </c>
      <c r="AH54" s="4">
        <f t="shared" si="45"/>
        <v>0</v>
      </c>
      <c r="AI54" s="4">
        <f t="shared" si="46"/>
        <v>0</v>
      </c>
      <c r="AJ54" s="4">
        <f t="shared" si="47"/>
        <v>1</v>
      </c>
      <c r="AK54" s="4">
        <f>transform!CQ55</f>
        <v>2</v>
      </c>
      <c r="AL54" s="4">
        <f t="shared" si="9"/>
        <v>1</v>
      </c>
      <c r="AM54" s="4">
        <f t="shared" si="10"/>
        <v>1</v>
      </c>
      <c r="AN54" s="4">
        <f t="shared" si="11"/>
        <v>2</v>
      </c>
      <c r="AO54" s="4">
        <f t="shared" si="12"/>
        <v>1</v>
      </c>
      <c r="AP54" s="4">
        <f t="shared" si="13"/>
        <v>1</v>
      </c>
      <c r="AQ54" s="4">
        <f t="shared" si="14"/>
        <v>1</v>
      </c>
      <c r="AR54" s="4">
        <f t="shared" si="15"/>
        <v>2</v>
      </c>
      <c r="AS54" s="4">
        <f t="shared" si="16"/>
        <v>1</v>
      </c>
      <c r="AT54" s="4">
        <f t="shared" si="17"/>
        <v>1</v>
      </c>
      <c r="AU54" s="4">
        <f t="shared" si="18"/>
        <v>1</v>
      </c>
      <c r="AV54" s="4">
        <f t="shared" si="19"/>
        <v>2</v>
      </c>
      <c r="AW54" s="4">
        <f t="shared" si="20"/>
        <v>1</v>
      </c>
      <c r="AX54" s="4">
        <f t="shared" si="21"/>
        <v>1</v>
      </c>
      <c r="AY54" s="4">
        <f t="shared" si="22"/>
        <v>2</v>
      </c>
      <c r="AZ54" s="4">
        <f t="shared" si="23"/>
        <v>1</v>
      </c>
      <c r="BA54" s="4">
        <f t="shared" si="24"/>
        <v>1</v>
      </c>
      <c r="BB54" s="4">
        <f t="shared" si="25"/>
        <v>1</v>
      </c>
      <c r="BC54" s="4">
        <f t="shared" si="26"/>
        <v>1</v>
      </c>
      <c r="BD54" s="4">
        <f t="shared" si="27"/>
        <v>1</v>
      </c>
      <c r="BE54" s="4">
        <f t="shared" si="28"/>
        <v>2</v>
      </c>
      <c r="BF54" s="4">
        <f t="shared" si="29"/>
        <v>1</v>
      </c>
      <c r="BG54" s="4">
        <f t="shared" si="30"/>
        <v>1</v>
      </c>
      <c r="BH54" s="4">
        <f t="shared" si="31"/>
        <v>1</v>
      </c>
      <c r="BI54" s="4">
        <f t="shared" si="32"/>
        <v>1</v>
      </c>
      <c r="BJ54" s="4">
        <f t="shared" si="33"/>
        <v>1</v>
      </c>
      <c r="BK54" s="4">
        <f t="shared" si="34"/>
        <v>2</v>
      </c>
      <c r="BL54" s="4">
        <f t="shared" si="35"/>
        <v>1</v>
      </c>
      <c r="BM54" s="4">
        <f t="shared" si="36"/>
        <v>1</v>
      </c>
      <c r="BN54" s="4">
        <f t="shared" si="37"/>
        <v>1</v>
      </c>
      <c r="BO54" s="4">
        <f t="shared" si="38"/>
        <v>1</v>
      </c>
    </row>
    <row r="55" spans="1:67">
      <c r="A55" s="4">
        <v>0</v>
      </c>
      <c r="B55" s="4">
        <f>transform!A56</f>
        <v>3</v>
      </c>
      <c r="C55" s="4">
        <f>transform!B56</f>
        <v>2</v>
      </c>
      <c r="D55" s="4">
        <f>transform!C56</f>
        <v>2</v>
      </c>
      <c r="E55" s="4">
        <f>transform!D56</f>
        <v>40883</v>
      </c>
      <c r="F55" s="4">
        <f>transform!E56</f>
        <v>1</v>
      </c>
      <c r="G55" s="4">
        <f>transform!F56</f>
        <v>1989</v>
      </c>
      <c r="H55" s="4">
        <f>transform!G56</f>
        <v>3</v>
      </c>
      <c r="I55" s="4">
        <f>transform!H56</f>
        <v>1</v>
      </c>
      <c r="J55" s="4">
        <f>COUNTIF(Raw!AR56:CA56,1)/(COUNTIF(Raw!AR56:CA56,1)+COUNTIF(Raw!AR56:CA56,0))</f>
        <v>0.380952380952381</v>
      </c>
      <c r="K55" s="15">
        <v>0</v>
      </c>
      <c r="L55" s="15">
        <v>0</v>
      </c>
      <c r="M55" s="15">
        <v>0</v>
      </c>
      <c r="N55" s="4">
        <f>transform!CC56</f>
        <v>2</v>
      </c>
      <c r="O55" s="4">
        <f>transform!CD56</f>
        <v>1</v>
      </c>
      <c r="P55" s="4">
        <f>transform!CE56</f>
        <v>2</v>
      </c>
      <c r="Q55" s="4">
        <f>transform!CF56</f>
        <v>2</v>
      </c>
      <c r="R55" s="4">
        <f>transform!CG56</f>
        <v>2</v>
      </c>
      <c r="S55" s="4">
        <f>transform!CH56</f>
        <v>2</v>
      </c>
      <c r="T55" s="4">
        <f>transform!CI56</f>
        <v>0</v>
      </c>
      <c r="U55" s="4">
        <f>transform!CJ56</f>
        <v>2</v>
      </c>
      <c r="V55" s="4">
        <f t="shared" si="39"/>
        <v>0</v>
      </c>
      <c r="W55" s="4">
        <f t="shared" si="40"/>
        <v>0</v>
      </c>
      <c r="X55" s="4">
        <f t="shared" si="41"/>
        <v>1</v>
      </c>
      <c r="Y55" s="4">
        <f>transform!CK56</f>
        <v>2</v>
      </c>
      <c r="Z55" s="4">
        <f>transform!CL56</f>
        <v>0</v>
      </c>
      <c r="AA55" s="4">
        <f>transform!CM56</f>
        <v>2</v>
      </c>
      <c r="AB55" s="4">
        <f t="shared" si="42"/>
        <v>0</v>
      </c>
      <c r="AC55" s="4">
        <f t="shared" si="43"/>
        <v>0</v>
      </c>
      <c r="AD55" s="4">
        <f t="shared" si="44"/>
        <v>1</v>
      </c>
      <c r="AE55" s="4">
        <f>transform!CN56</f>
        <v>1</v>
      </c>
      <c r="AF55" s="4">
        <f>transform!CO56</f>
        <v>0</v>
      </c>
      <c r="AG55" s="4">
        <f>transform!CP56</f>
        <v>2</v>
      </c>
      <c r="AH55" s="4">
        <f t="shared" si="45"/>
        <v>0</v>
      </c>
      <c r="AI55" s="4">
        <f t="shared" si="46"/>
        <v>0</v>
      </c>
      <c r="AJ55" s="4">
        <f t="shared" si="47"/>
        <v>1</v>
      </c>
      <c r="AK55" s="4">
        <f>transform!CQ56</f>
        <v>1</v>
      </c>
      <c r="AL55" s="4">
        <f t="shared" si="9"/>
        <v>1</v>
      </c>
      <c r="AM55" s="4">
        <f t="shared" si="10"/>
        <v>1</v>
      </c>
      <c r="AN55" s="4">
        <f t="shared" si="11"/>
        <v>1</v>
      </c>
      <c r="AO55" s="4">
        <f t="shared" si="12"/>
        <v>2</v>
      </c>
      <c r="AP55" s="4">
        <f t="shared" si="13"/>
        <v>1</v>
      </c>
      <c r="AQ55" s="4">
        <f t="shared" si="14"/>
        <v>2</v>
      </c>
      <c r="AR55" s="4">
        <f t="shared" si="15"/>
        <v>1</v>
      </c>
      <c r="AS55" s="4">
        <f t="shared" si="16"/>
        <v>1</v>
      </c>
      <c r="AT55" s="4">
        <f t="shared" si="17"/>
        <v>1</v>
      </c>
      <c r="AU55" s="4">
        <f t="shared" si="18"/>
        <v>2</v>
      </c>
      <c r="AV55" s="4">
        <f t="shared" si="19"/>
        <v>1</v>
      </c>
      <c r="AW55" s="4">
        <f t="shared" si="20"/>
        <v>1</v>
      </c>
      <c r="AX55" s="4">
        <f t="shared" si="21"/>
        <v>1</v>
      </c>
      <c r="AY55" s="4">
        <f t="shared" si="22"/>
        <v>2</v>
      </c>
      <c r="AZ55" s="4">
        <f t="shared" si="23"/>
        <v>1</v>
      </c>
      <c r="BA55" s="4">
        <f t="shared" si="24"/>
        <v>1</v>
      </c>
      <c r="BB55" s="4">
        <f t="shared" si="25"/>
        <v>1</v>
      </c>
      <c r="BC55" s="4">
        <f t="shared" si="26"/>
        <v>1</v>
      </c>
      <c r="BD55" s="4">
        <f t="shared" si="27"/>
        <v>2</v>
      </c>
      <c r="BE55" s="4">
        <f t="shared" si="28"/>
        <v>1</v>
      </c>
      <c r="BF55" s="4">
        <f t="shared" si="29"/>
        <v>1</v>
      </c>
      <c r="BG55" s="4">
        <f t="shared" si="30"/>
        <v>1</v>
      </c>
      <c r="BH55" s="4">
        <f t="shared" si="31"/>
        <v>1</v>
      </c>
      <c r="BI55" s="4">
        <f t="shared" si="32"/>
        <v>1</v>
      </c>
      <c r="BJ55" s="4">
        <f t="shared" si="33"/>
        <v>2</v>
      </c>
      <c r="BK55" s="4">
        <f t="shared" si="34"/>
        <v>1</v>
      </c>
      <c r="BL55" s="4">
        <f t="shared" si="35"/>
        <v>1</v>
      </c>
      <c r="BM55" s="4">
        <f t="shared" si="36"/>
        <v>1</v>
      </c>
      <c r="BN55" s="4">
        <f t="shared" si="37"/>
        <v>1</v>
      </c>
      <c r="BO55" s="4">
        <f t="shared" si="38"/>
        <v>1</v>
      </c>
    </row>
    <row r="56" spans="1:67">
      <c r="A56" s="4">
        <v>0</v>
      </c>
      <c r="B56" s="4">
        <f>transform!A57</f>
        <v>3</v>
      </c>
      <c r="C56" s="4">
        <f>transform!B57</f>
        <v>2</v>
      </c>
      <c r="D56" s="4">
        <f>transform!C57</f>
        <v>3</v>
      </c>
      <c r="E56" s="4">
        <f>transform!D57</f>
        <v>40876</v>
      </c>
      <c r="F56" s="4">
        <f>transform!E57</f>
        <v>1</v>
      </c>
      <c r="G56" s="4">
        <f>transform!F57</f>
        <v>1989</v>
      </c>
      <c r="H56" s="4">
        <f>transform!G57</f>
        <v>3</v>
      </c>
      <c r="I56" s="4">
        <f>transform!H57</f>
        <v>2</v>
      </c>
      <c r="J56" s="4">
        <f>COUNTIF(Raw!AR57:CA57,1)/(COUNTIF(Raw!AR57:CA57,1)+COUNTIF(Raw!AR57:CA57,0))</f>
        <v>1</v>
      </c>
      <c r="K56" s="15">
        <v>0.428571428571429</v>
      </c>
      <c r="L56" s="15">
        <v>1</v>
      </c>
      <c r="M56" s="15">
        <v>1</v>
      </c>
      <c r="N56" s="4">
        <f>transform!CC57</f>
        <v>2</v>
      </c>
      <c r="O56" s="4">
        <f>transform!CD57</f>
        <v>2</v>
      </c>
      <c r="P56" s="4">
        <f>transform!CE57</f>
        <v>2</v>
      </c>
      <c r="Q56" s="4">
        <f>transform!CF57</f>
        <v>2</v>
      </c>
      <c r="R56" s="4">
        <f>transform!CG57</f>
        <v>2</v>
      </c>
      <c r="S56" s="4">
        <f>transform!CH57</f>
        <v>2</v>
      </c>
      <c r="T56" s="4">
        <f>transform!CI57</f>
        <v>0</v>
      </c>
      <c r="U56" s="4">
        <f>transform!CJ57</f>
        <v>2</v>
      </c>
      <c r="V56" s="4">
        <f t="shared" si="39"/>
        <v>0</v>
      </c>
      <c r="W56" s="4">
        <f t="shared" si="40"/>
        <v>0</v>
      </c>
      <c r="X56" s="4">
        <f t="shared" si="41"/>
        <v>1</v>
      </c>
      <c r="Y56" s="4">
        <f>transform!CK57</f>
        <v>2</v>
      </c>
      <c r="Z56" s="4">
        <f>transform!CL57</f>
        <v>0</v>
      </c>
      <c r="AA56" s="4">
        <f>transform!CM57</f>
        <v>2</v>
      </c>
      <c r="AB56" s="4">
        <f t="shared" si="42"/>
        <v>0</v>
      </c>
      <c r="AC56" s="4">
        <f t="shared" si="43"/>
        <v>0</v>
      </c>
      <c r="AD56" s="4">
        <f t="shared" si="44"/>
        <v>1</v>
      </c>
      <c r="AE56" s="4">
        <f>transform!CN57</f>
        <v>2</v>
      </c>
      <c r="AF56" s="4">
        <f>transform!CO57</f>
        <v>0</v>
      </c>
      <c r="AG56" s="4">
        <f>transform!CP57</f>
        <v>2</v>
      </c>
      <c r="AH56" s="4">
        <f t="shared" si="45"/>
        <v>0</v>
      </c>
      <c r="AI56" s="4">
        <f t="shared" si="46"/>
        <v>0</v>
      </c>
      <c r="AJ56" s="4">
        <f t="shared" si="47"/>
        <v>1</v>
      </c>
      <c r="AK56" s="4">
        <f>transform!CQ57</f>
        <v>2</v>
      </c>
      <c r="AL56" s="4">
        <f t="shared" si="9"/>
        <v>1</v>
      </c>
      <c r="AM56" s="4">
        <f t="shared" si="10"/>
        <v>2</v>
      </c>
      <c r="AN56" s="4">
        <f t="shared" si="11"/>
        <v>1</v>
      </c>
      <c r="AO56" s="4">
        <f t="shared" si="12"/>
        <v>1</v>
      </c>
      <c r="AP56" s="4">
        <f t="shared" si="13"/>
        <v>1</v>
      </c>
      <c r="AQ56" s="4">
        <f t="shared" si="14"/>
        <v>2</v>
      </c>
      <c r="AR56" s="4">
        <f t="shared" si="15"/>
        <v>1</v>
      </c>
      <c r="AS56" s="4">
        <f t="shared" si="16"/>
        <v>1</v>
      </c>
      <c r="AT56" s="4">
        <f t="shared" si="17"/>
        <v>1</v>
      </c>
      <c r="AU56" s="4">
        <f t="shared" si="18"/>
        <v>2</v>
      </c>
      <c r="AV56" s="4">
        <f t="shared" si="19"/>
        <v>1</v>
      </c>
      <c r="AW56" s="4">
        <f t="shared" si="20"/>
        <v>1</v>
      </c>
      <c r="AX56" s="4">
        <f t="shared" si="21"/>
        <v>1</v>
      </c>
      <c r="AY56" s="4">
        <f t="shared" si="22"/>
        <v>2</v>
      </c>
      <c r="AZ56" s="4">
        <f t="shared" si="23"/>
        <v>1</v>
      </c>
      <c r="BA56" s="4">
        <f t="shared" si="24"/>
        <v>1</v>
      </c>
      <c r="BB56" s="4">
        <f t="shared" si="25"/>
        <v>1</v>
      </c>
      <c r="BC56" s="4">
        <f t="shared" si="26"/>
        <v>1</v>
      </c>
      <c r="BD56" s="4">
        <f t="shared" si="27"/>
        <v>1</v>
      </c>
      <c r="BE56" s="4">
        <f t="shared" si="28"/>
        <v>2</v>
      </c>
      <c r="BF56" s="4">
        <f t="shared" si="29"/>
        <v>1</v>
      </c>
      <c r="BG56" s="4">
        <f t="shared" si="30"/>
        <v>1</v>
      </c>
      <c r="BH56" s="4">
        <f t="shared" si="31"/>
        <v>1</v>
      </c>
      <c r="BI56" s="4">
        <f t="shared" si="32"/>
        <v>1</v>
      </c>
      <c r="BJ56" s="4">
        <f t="shared" si="33"/>
        <v>1</v>
      </c>
      <c r="BK56" s="4">
        <f t="shared" si="34"/>
        <v>2</v>
      </c>
      <c r="BL56" s="4">
        <f t="shared" si="35"/>
        <v>1</v>
      </c>
      <c r="BM56" s="4">
        <f t="shared" si="36"/>
        <v>1</v>
      </c>
      <c r="BN56" s="4">
        <f t="shared" si="37"/>
        <v>1</v>
      </c>
      <c r="BO56" s="4">
        <f t="shared" si="38"/>
        <v>1</v>
      </c>
    </row>
    <row r="57" spans="1:67">
      <c r="A57" s="4">
        <v>0</v>
      </c>
      <c r="B57" s="4">
        <f>transform!A58</f>
        <v>3</v>
      </c>
      <c r="C57" s="4">
        <f>transform!B58</f>
        <v>2</v>
      </c>
      <c r="D57" s="4">
        <f>transform!C58</f>
        <v>4</v>
      </c>
      <c r="E57" s="4">
        <f>transform!D58</f>
        <v>40876</v>
      </c>
      <c r="F57" s="4">
        <f>transform!E58</f>
        <v>1</v>
      </c>
      <c r="G57" s="4">
        <f>transform!F58</f>
        <v>1992</v>
      </c>
      <c r="H57" s="4">
        <f>transform!G58</f>
        <v>3</v>
      </c>
      <c r="I57" s="4">
        <f>transform!H58</f>
        <v>1</v>
      </c>
      <c r="J57" s="4">
        <f>COUNTIF(Raw!AR58:CA58,1)/(COUNTIF(Raw!AR58:CA58,1)+COUNTIF(Raw!AR58:CA58,0))</f>
        <v>0.523809523809524</v>
      </c>
      <c r="K57" s="15">
        <v>0.142857142857143</v>
      </c>
      <c r="L57" s="15">
        <v>0</v>
      </c>
      <c r="M57" s="15">
        <v>0</v>
      </c>
      <c r="N57" s="4">
        <f>transform!CC58</f>
        <v>2</v>
      </c>
      <c r="O57" s="4">
        <f>transform!CD58</f>
        <v>2</v>
      </c>
      <c r="P57" s="4">
        <f>transform!CE58</f>
        <v>2</v>
      </c>
      <c r="Q57" s="4">
        <f>transform!CF58</f>
        <v>2</v>
      </c>
      <c r="R57" s="4">
        <f>transform!CG58</f>
        <v>2</v>
      </c>
      <c r="S57" s="4">
        <f>transform!CH58</f>
        <v>1</v>
      </c>
      <c r="T57" s="4">
        <f>transform!CI58</f>
        <v>0</v>
      </c>
      <c r="U57" s="4">
        <f>transform!CJ58</f>
        <v>2</v>
      </c>
      <c r="V57" s="4">
        <f t="shared" si="39"/>
        <v>0</v>
      </c>
      <c r="W57" s="4">
        <f t="shared" si="40"/>
        <v>0</v>
      </c>
      <c r="X57" s="4">
        <f t="shared" si="41"/>
        <v>1</v>
      </c>
      <c r="Y57" s="4">
        <f>transform!CK58</f>
        <v>2</v>
      </c>
      <c r="Z57" s="4">
        <f>transform!CL58</f>
        <v>0</v>
      </c>
      <c r="AA57" s="4">
        <f>transform!CM58</f>
        <v>2</v>
      </c>
      <c r="AB57" s="4">
        <f t="shared" si="42"/>
        <v>0</v>
      </c>
      <c r="AC57" s="4">
        <f t="shared" si="43"/>
        <v>0</v>
      </c>
      <c r="AD57" s="4">
        <f t="shared" si="44"/>
        <v>1</v>
      </c>
      <c r="AE57" s="4">
        <f>transform!CN58</f>
        <v>2</v>
      </c>
      <c r="AF57" s="4">
        <f>transform!CO58</f>
        <v>0</v>
      </c>
      <c r="AG57" s="4">
        <f>transform!CP58</f>
        <v>2</v>
      </c>
      <c r="AH57" s="4">
        <f t="shared" si="45"/>
        <v>0</v>
      </c>
      <c r="AI57" s="4">
        <f t="shared" si="46"/>
        <v>0</v>
      </c>
      <c r="AJ57" s="4">
        <f t="shared" si="47"/>
        <v>1</v>
      </c>
      <c r="AK57" s="4">
        <f>transform!CQ58</f>
        <v>2</v>
      </c>
      <c r="AL57" s="4">
        <f t="shared" si="9"/>
        <v>1</v>
      </c>
      <c r="AM57" s="4">
        <f t="shared" si="10"/>
        <v>2</v>
      </c>
      <c r="AN57" s="4">
        <f t="shared" si="11"/>
        <v>1</v>
      </c>
      <c r="AO57" s="4">
        <f t="shared" si="12"/>
        <v>1</v>
      </c>
      <c r="AP57" s="4">
        <f t="shared" si="13"/>
        <v>1</v>
      </c>
      <c r="AQ57" s="4">
        <f t="shared" si="14"/>
        <v>2</v>
      </c>
      <c r="AR57" s="4">
        <f t="shared" si="15"/>
        <v>1</v>
      </c>
      <c r="AS57" s="4">
        <f t="shared" si="16"/>
        <v>1</v>
      </c>
      <c r="AT57" s="4">
        <f t="shared" si="17"/>
        <v>1</v>
      </c>
      <c r="AU57" s="4">
        <f t="shared" si="18"/>
        <v>1</v>
      </c>
      <c r="AV57" s="4">
        <f t="shared" si="19"/>
        <v>1</v>
      </c>
      <c r="AW57" s="4">
        <f t="shared" si="20"/>
        <v>2</v>
      </c>
      <c r="AX57" s="4">
        <f t="shared" si="21"/>
        <v>1</v>
      </c>
      <c r="AY57" s="4">
        <f t="shared" si="22"/>
        <v>2</v>
      </c>
      <c r="AZ57" s="4">
        <f t="shared" si="23"/>
        <v>1</v>
      </c>
      <c r="BA57" s="4">
        <f t="shared" si="24"/>
        <v>1</v>
      </c>
      <c r="BB57" s="4">
        <f t="shared" si="25"/>
        <v>1</v>
      </c>
      <c r="BC57" s="4">
        <f t="shared" si="26"/>
        <v>1</v>
      </c>
      <c r="BD57" s="4">
        <f t="shared" si="27"/>
        <v>1</v>
      </c>
      <c r="BE57" s="4">
        <f t="shared" si="28"/>
        <v>2</v>
      </c>
      <c r="BF57" s="4">
        <f t="shared" si="29"/>
        <v>1</v>
      </c>
      <c r="BG57" s="4">
        <f t="shared" si="30"/>
        <v>1</v>
      </c>
      <c r="BH57" s="4">
        <f t="shared" si="31"/>
        <v>1</v>
      </c>
      <c r="BI57" s="4">
        <f t="shared" si="32"/>
        <v>1</v>
      </c>
      <c r="BJ57" s="4">
        <f t="shared" si="33"/>
        <v>1</v>
      </c>
      <c r="BK57" s="4">
        <f t="shared" si="34"/>
        <v>2</v>
      </c>
      <c r="BL57" s="4">
        <f t="shared" si="35"/>
        <v>1</v>
      </c>
      <c r="BM57" s="4">
        <f t="shared" si="36"/>
        <v>1</v>
      </c>
      <c r="BN57" s="4">
        <f t="shared" si="37"/>
        <v>1</v>
      </c>
      <c r="BO57" s="4">
        <f t="shared" si="38"/>
        <v>1</v>
      </c>
    </row>
    <row r="58" spans="1:67">
      <c r="A58" s="4">
        <v>0</v>
      </c>
      <c r="B58" s="4">
        <f>transform!A59</f>
        <v>3</v>
      </c>
      <c r="C58" s="4">
        <f>transform!B59</f>
        <v>2</v>
      </c>
      <c r="D58" s="4">
        <f>transform!C59</f>
        <v>5</v>
      </c>
      <c r="E58" s="4">
        <f>transform!D59</f>
        <v>40879</v>
      </c>
      <c r="F58" s="4">
        <f>transform!E59</f>
        <v>1</v>
      </c>
      <c r="G58" s="4">
        <f>transform!F59</f>
        <v>1990</v>
      </c>
      <c r="H58" s="4">
        <f>transform!G59</f>
        <v>2</v>
      </c>
      <c r="I58" s="4">
        <f>transform!H59</f>
        <v>1</v>
      </c>
      <c r="J58" s="4">
        <f>COUNTIF(Raw!AR59:CA59,1)/(COUNTIF(Raw!AR59:CA59,1)+COUNTIF(Raw!AR59:CA59,0))</f>
        <v>0.333333333333333</v>
      </c>
      <c r="K58" s="15">
        <v>0.428571428571429</v>
      </c>
      <c r="L58" s="15">
        <v>0</v>
      </c>
      <c r="M58" s="15">
        <v>1</v>
      </c>
      <c r="N58" s="4">
        <f>transform!CC59</f>
        <v>2</v>
      </c>
      <c r="O58" s="4">
        <f>transform!CD59</f>
        <v>2</v>
      </c>
      <c r="P58" s="4">
        <f>transform!CE59</f>
        <v>2</v>
      </c>
      <c r="Q58" s="4">
        <f>transform!CF59</f>
        <v>2</v>
      </c>
      <c r="R58" s="4">
        <f>transform!CG59</f>
        <v>2</v>
      </c>
      <c r="S58" s="4">
        <f>transform!CH59</f>
        <v>2</v>
      </c>
      <c r="T58" s="4">
        <f>transform!CI59</f>
        <v>1</v>
      </c>
      <c r="U58" s="4">
        <f>transform!CJ59</f>
        <v>2</v>
      </c>
      <c r="V58" s="4">
        <f t="shared" si="39"/>
        <v>0</v>
      </c>
      <c r="W58" s="4">
        <f t="shared" si="40"/>
        <v>1</v>
      </c>
      <c r="X58" s="4">
        <f t="shared" si="41"/>
        <v>3</v>
      </c>
      <c r="Y58" s="4">
        <f>transform!CK59</f>
        <v>2</v>
      </c>
      <c r="Z58" s="4">
        <f>transform!CL59</f>
        <v>1</v>
      </c>
      <c r="AA58" s="4">
        <f>transform!CM59</f>
        <v>2</v>
      </c>
      <c r="AB58" s="4">
        <f t="shared" si="42"/>
        <v>0</v>
      </c>
      <c r="AC58" s="4">
        <f t="shared" si="43"/>
        <v>1</v>
      </c>
      <c r="AD58" s="4">
        <f t="shared" si="44"/>
        <v>3</v>
      </c>
      <c r="AE58" s="4">
        <f>transform!CN59</f>
        <v>2</v>
      </c>
      <c r="AF58" s="4">
        <f>transform!CO59</f>
        <v>1</v>
      </c>
      <c r="AG58" s="4">
        <f>transform!CP59</f>
        <v>2</v>
      </c>
      <c r="AH58" s="4">
        <f t="shared" si="45"/>
        <v>0</v>
      </c>
      <c r="AI58" s="4">
        <f t="shared" si="46"/>
        <v>1</v>
      </c>
      <c r="AJ58" s="4">
        <f t="shared" si="47"/>
        <v>3</v>
      </c>
      <c r="AK58" s="4">
        <f>transform!CQ59</f>
        <v>2</v>
      </c>
      <c r="AL58" s="4">
        <f t="shared" si="9"/>
        <v>1</v>
      </c>
      <c r="AM58" s="4">
        <f t="shared" si="10"/>
        <v>2</v>
      </c>
      <c r="AN58" s="4">
        <f t="shared" si="11"/>
        <v>1</v>
      </c>
      <c r="AO58" s="4">
        <f t="shared" si="12"/>
        <v>1</v>
      </c>
      <c r="AP58" s="4">
        <f t="shared" si="13"/>
        <v>1</v>
      </c>
      <c r="AQ58" s="4">
        <f t="shared" si="14"/>
        <v>2</v>
      </c>
      <c r="AR58" s="4">
        <f t="shared" si="15"/>
        <v>1</v>
      </c>
      <c r="AS58" s="4">
        <f t="shared" si="16"/>
        <v>1</v>
      </c>
      <c r="AT58" s="4">
        <f t="shared" si="17"/>
        <v>1</v>
      </c>
      <c r="AU58" s="4">
        <f t="shared" si="18"/>
        <v>2</v>
      </c>
      <c r="AV58" s="4">
        <f t="shared" si="19"/>
        <v>1</v>
      </c>
      <c r="AW58" s="4">
        <f t="shared" si="20"/>
        <v>1</v>
      </c>
      <c r="AX58" s="4">
        <f t="shared" si="21"/>
        <v>1</v>
      </c>
      <c r="AY58" s="4">
        <f t="shared" si="22"/>
        <v>1</v>
      </c>
      <c r="AZ58" s="4">
        <f t="shared" si="23"/>
        <v>1</v>
      </c>
      <c r="BA58" s="4">
        <f t="shared" si="24"/>
        <v>2</v>
      </c>
      <c r="BB58" s="4">
        <f t="shared" si="25"/>
        <v>1</v>
      </c>
      <c r="BC58" s="4">
        <f t="shared" si="26"/>
        <v>1</v>
      </c>
      <c r="BD58" s="4">
        <f t="shared" si="27"/>
        <v>1</v>
      </c>
      <c r="BE58" s="4">
        <f t="shared" si="28"/>
        <v>1</v>
      </c>
      <c r="BF58" s="4">
        <f t="shared" si="29"/>
        <v>1</v>
      </c>
      <c r="BG58" s="4">
        <f t="shared" si="30"/>
        <v>2</v>
      </c>
      <c r="BH58" s="4">
        <f t="shared" si="31"/>
        <v>1</v>
      </c>
      <c r="BI58" s="4">
        <f t="shared" si="32"/>
        <v>1</v>
      </c>
      <c r="BJ58" s="4">
        <f t="shared" si="33"/>
        <v>1</v>
      </c>
      <c r="BK58" s="4">
        <f t="shared" si="34"/>
        <v>1</v>
      </c>
      <c r="BL58" s="4">
        <f t="shared" si="35"/>
        <v>1</v>
      </c>
      <c r="BM58" s="4">
        <f t="shared" si="36"/>
        <v>2</v>
      </c>
      <c r="BN58" s="4">
        <f t="shared" si="37"/>
        <v>1</v>
      </c>
      <c r="BO58" s="4">
        <f t="shared" si="38"/>
        <v>1</v>
      </c>
    </row>
    <row r="59" spans="1:67">
      <c r="A59" s="4">
        <v>0</v>
      </c>
      <c r="B59" s="4">
        <f>transform!A60</f>
        <v>3</v>
      </c>
      <c r="C59" s="4">
        <f>transform!B60</f>
        <v>2</v>
      </c>
      <c r="D59" s="4">
        <f>transform!C60</f>
        <v>6</v>
      </c>
      <c r="E59" s="4">
        <f>transform!D60</f>
        <v>40886</v>
      </c>
      <c r="F59" s="4">
        <f>transform!E60</f>
        <v>1</v>
      </c>
      <c r="G59" s="4">
        <f>transform!F60</f>
        <v>1992</v>
      </c>
      <c r="H59" s="4">
        <f>transform!G60</f>
        <v>3</v>
      </c>
      <c r="I59" s="4">
        <f>transform!H60</f>
        <v>1</v>
      </c>
      <c r="J59" s="4">
        <f>COUNTIF(Raw!AR60:CA60,1)/(COUNTIF(Raw!AR60:CA60,1)+COUNTIF(Raw!AR60:CA60,0))</f>
        <v>0.380952380952381</v>
      </c>
      <c r="K59" s="15">
        <v>0</v>
      </c>
      <c r="L59" s="15">
        <v>0</v>
      </c>
      <c r="M59" s="15">
        <v>0</v>
      </c>
      <c r="N59" s="4">
        <f>transform!CC60</f>
        <v>1</v>
      </c>
      <c r="O59" s="4">
        <f>transform!CD60</f>
        <v>1</v>
      </c>
      <c r="P59" s="4">
        <f>transform!CE60</f>
        <v>2</v>
      </c>
      <c r="Q59" s="4">
        <f>transform!CF60</f>
        <v>2</v>
      </c>
      <c r="R59" s="4">
        <f>transform!CG60</f>
        <v>1</v>
      </c>
      <c r="S59" s="4">
        <f>transform!CH60</f>
        <v>2</v>
      </c>
      <c r="T59" s="4">
        <f>transform!CI60</f>
        <v>0</v>
      </c>
      <c r="U59" s="4">
        <f>transform!CJ60</f>
        <v>2</v>
      </c>
      <c r="V59" s="4">
        <f t="shared" si="39"/>
        <v>0</v>
      </c>
      <c r="W59" s="4">
        <f t="shared" si="40"/>
        <v>0</v>
      </c>
      <c r="X59" s="4">
        <f t="shared" si="41"/>
        <v>1</v>
      </c>
      <c r="Y59" s="4">
        <f>transform!CK60</f>
        <v>2</v>
      </c>
      <c r="Z59" s="4">
        <f>transform!CL60</f>
        <v>0</v>
      </c>
      <c r="AA59" s="4">
        <f>transform!CM60</f>
        <v>1</v>
      </c>
      <c r="AB59" s="4">
        <f t="shared" si="42"/>
        <v>0</v>
      </c>
      <c r="AC59" s="4">
        <f t="shared" si="43"/>
        <v>0</v>
      </c>
      <c r="AD59" s="4">
        <f t="shared" si="44"/>
        <v>1</v>
      </c>
      <c r="AE59" s="4">
        <f>transform!CN60</f>
        <v>1</v>
      </c>
      <c r="AF59" s="4">
        <f>transform!CO60</f>
        <v>1</v>
      </c>
      <c r="AG59" s="4">
        <f>transform!CP60</f>
        <v>1</v>
      </c>
      <c r="AH59" s="4">
        <f t="shared" si="45"/>
        <v>1</v>
      </c>
      <c r="AI59" s="4">
        <f t="shared" si="46"/>
        <v>0</v>
      </c>
      <c r="AJ59" s="4">
        <f t="shared" si="47"/>
        <v>2</v>
      </c>
      <c r="AK59" s="4">
        <f>transform!CQ60</f>
        <v>2</v>
      </c>
      <c r="AL59" s="4">
        <f t="shared" si="9"/>
        <v>2</v>
      </c>
      <c r="AM59" s="4">
        <f t="shared" si="10"/>
        <v>1</v>
      </c>
      <c r="AN59" s="4">
        <f t="shared" si="11"/>
        <v>1</v>
      </c>
      <c r="AO59" s="4">
        <f t="shared" si="12"/>
        <v>1</v>
      </c>
      <c r="AP59" s="4">
        <f t="shared" si="13"/>
        <v>1</v>
      </c>
      <c r="AQ59" s="4">
        <f t="shared" si="14"/>
        <v>2</v>
      </c>
      <c r="AR59" s="4">
        <f t="shared" si="15"/>
        <v>1</v>
      </c>
      <c r="AS59" s="4">
        <f t="shared" si="16"/>
        <v>1</v>
      </c>
      <c r="AT59" s="4">
        <f t="shared" si="17"/>
        <v>1</v>
      </c>
      <c r="AU59" s="4">
        <f t="shared" si="18"/>
        <v>1</v>
      </c>
      <c r="AV59" s="4">
        <f t="shared" si="19"/>
        <v>2</v>
      </c>
      <c r="AW59" s="4">
        <f t="shared" si="20"/>
        <v>1</v>
      </c>
      <c r="AX59" s="4">
        <f t="shared" si="21"/>
        <v>1</v>
      </c>
      <c r="AY59" s="4">
        <f t="shared" si="22"/>
        <v>2</v>
      </c>
      <c r="AZ59" s="4">
        <f t="shared" si="23"/>
        <v>1</v>
      </c>
      <c r="BA59" s="4">
        <f t="shared" si="24"/>
        <v>1</v>
      </c>
      <c r="BB59" s="4">
        <f t="shared" si="25"/>
        <v>1</v>
      </c>
      <c r="BC59" s="4">
        <f t="shared" si="26"/>
        <v>1</v>
      </c>
      <c r="BD59" s="4">
        <f t="shared" si="27"/>
        <v>2</v>
      </c>
      <c r="BE59" s="4">
        <f t="shared" si="28"/>
        <v>1</v>
      </c>
      <c r="BF59" s="4">
        <f t="shared" si="29"/>
        <v>1</v>
      </c>
      <c r="BG59" s="4">
        <f t="shared" si="30"/>
        <v>1</v>
      </c>
      <c r="BH59" s="4">
        <f t="shared" si="31"/>
        <v>1</v>
      </c>
      <c r="BI59" s="4">
        <f t="shared" si="32"/>
        <v>1</v>
      </c>
      <c r="BJ59" s="4">
        <f t="shared" si="33"/>
        <v>1</v>
      </c>
      <c r="BK59" s="4">
        <f t="shared" si="34"/>
        <v>1</v>
      </c>
      <c r="BL59" s="4">
        <f t="shared" si="35"/>
        <v>1</v>
      </c>
      <c r="BM59" s="4">
        <f t="shared" si="36"/>
        <v>1</v>
      </c>
      <c r="BN59" s="4">
        <f t="shared" si="37"/>
        <v>2</v>
      </c>
      <c r="BO59" s="4">
        <f t="shared" si="38"/>
        <v>1</v>
      </c>
    </row>
    <row r="60" spans="1:67">
      <c r="A60" s="4">
        <v>0</v>
      </c>
      <c r="B60" s="4">
        <f>transform!A61</f>
        <v>3</v>
      </c>
      <c r="C60" s="4">
        <f>transform!B61</f>
        <v>2</v>
      </c>
      <c r="D60" s="4">
        <f>transform!C61</f>
        <v>7</v>
      </c>
      <c r="E60" s="4">
        <f>transform!D61</f>
        <v>40876</v>
      </c>
      <c r="F60" s="4">
        <f>transform!E61</f>
        <v>1</v>
      </c>
      <c r="G60" s="4">
        <f>transform!F61</f>
        <v>1992</v>
      </c>
      <c r="H60" s="4">
        <f>transform!G61</f>
        <v>4</v>
      </c>
      <c r="I60" s="4">
        <f>transform!H61</f>
        <v>1</v>
      </c>
      <c r="J60" s="4">
        <f>COUNTIF(Raw!AR61:CA61,1)/(COUNTIF(Raw!AR61:CA61,1)+COUNTIF(Raw!AR61:CA61,0))</f>
        <v>1</v>
      </c>
      <c r="K60" s="15">
        <v>0.571428571428571</v>
      </c>
      <c r="L60" s="15">
        <v>1</v>
      </c>
      <c r="M60" s="15">
        <v>1</v>
      </c>
      <c r="N60" s="4">
        <f>transform!CC61</f>
        <v>2</v>
      </c>
      <c r="O60" s="4">
        <f>transform!CD61</f>
        <v>1</v>
      </c>
      <c r="P60" s="4">
        <f>transform!CE61</f>
        <v>1</v>
      </c>
      <c r="Q60" s="4">
        <f>transform!CF61</f>
        <v>2</v>
      </c>
      <c r="R60" s="4">
        <f>transform!CG61</f>
        <v>1</v>
      </c>
      <c r="S60" s="4">
        <f>transform!CH61</f>
        <v>2</v>
      </c>
      <c r="T60" s="4">
        <f>transform!CI61</f>
        <v>1</v>
      </c>
      <c r="U60" s="4">
        <f>transform!CJ61</f>
        <v>1</v>
      </c>
      <c r="V60" s="4">
        <f t="shared" si="39"/>
        <v>1</v>
      </c>
      <c r="W60" s="4">
        <f t="shared" si="40"/>
        <v>0</v>
      </c>
      <c r="X60" s="4">
        <f t="shared" si="41"/>
        <v>2</v>
      </c>
      <c r="Y60" s="4">
        <f>transform!CK61</f>
        <v>2</v>
      </c>
      <c r="Z60" s="4">
        <f>transform!CL61</f>
        <v>1</v>
      </c>
      <c r="AA60" s="4">
        <f>transform!CM61</f>
        <v>1</v>
      </c>
      <c r="AB60" s="4">
        <f t="shared" si="42"/>
        <v>1</v>
      </c>
      <c r="AC60" s="4">
        <f t="shared" si="43"/>
        <v>0</v>
      </c>
      <c r="AD60" s="4">
        <f t="shared" si="44"/>
        <v>2</v>
      </c>
      <c r="AE60" s="4">
        <f>transform!CN61</f>
        <v>2</v>
      </c>
      <c r="AF60" s="4">
        <f>transform!CO61</f>
        <v>1</v>
      </c>
      <c r="AG60" s="4">
        <f>transform!CP61</f>
        <v>1</v>
      </c>
      <c r="AH60" s="4">
        <f t="shared" si="45"/>
        <v>1</v>
      </c>
      <c r="AI60" s="4">
        <f t="shared" si="46"/>
        <v>0</v>
      </c>
      <c r="AJ60" s="4">
        <f t="shared" si="47"/>
        <v>2</v>
      </c>
      <c r="AK60" s="4">
        <f>transform!CQ61</f>
        <v>2</v>
      </c>
      <c r="AL60" s="4">
        <f t="shared" si="9"/>
        <v>1</v>
      </c>
      <c r="AM60" s="4">
        <f t="shared" si="10"/>
        <v>1</v>
      </c>
      <c r="AN60" s="4">
        <f t="shared" si="11"/>
        <v>1</v>
      </c>
      <c r="AO60" s="4">
        <f t="shared" si="12"/>
        <v>2</v>
      </c>
      <c r="AP60" s="4">
        <f t="shared" si="13"/>
        <v>1</v>
      </c>
      <c r="AQ60" s="4">
        <f t="shared" si="14"/>
        <v>1</v>
      </c>
      <c r="AR60" s="4">
        <f t="shared" si="15"/>
        <v>2</v>
      </c>
      <c r="AS60" s="4">
        <f t="shared" si="16"/>
        <v>1</v>
      </c>
      <c r="AT60" s="4">
        <f t="shared" si="17"/>
        <v>1</v>
      </c>
      <c r="AU60" s="4">
        <f t="shared" si="18"/>
        <v>1</v>
      </c>
      <c r="AV60" s="4">
        <f t="shared" si="19"/>
        <v>2</v>
      </c>
      <c r="AW60" s="4">
        <f t="shared" si="20"/>
        <v>1</v>
      </c>
      <c r="AX60" s="4">
        <f t="shared" si="21"/>
        <v>1</v>
      </c>
      <c r="AY60" s="4">
        <f t="shared" si="22"/>
        <v>1</v>
      </c>
      <c r="AZ60" s="4">
        <f t="shared" si="23"/>
        <v>1</v>
      </c>
      <c r="BA60" s="4">
        <f t="shared" si="24"/>
        <v>1</v>
      </c>
      <c r="BB60" s="4">
        <f t="shared" si="25"/>
        <v>2</v>
      </c>
      <c r="BC60" s="4">
        <f t="shared" si="26"/>
        <v>1</v>
      </c>
      <c r="BD60" s="4">
        <f t="shared" si="27"/>
        <v>1</v>
      </c>
      <c r="BE60" s="4">
        <f t="shared" si="28"/>
        <v>1</v>
      </c>
      <c r="BF60" s="4">
        <f t="shared" si="29"/>
        <v>1</v>
      </c>
      <c r="BG60" s="4">
        <f t="shared" si="30"/>
        <v>1</v>
      </c>
      <c r="BH60" s="4">
        <f t="shared" si="31"/>
        <v>2</v>
      </c>
      <c r="BI60" s="4">
        <f t="shared" si="32"/>
        <v>1</v>
      </c>
      <c r="BJ60" s="4">
        <f t="shared" si="33"/>
        <v>1</v>
      </c>
      <c r="BK60" s="4">
        <f t="shared" si="34"/>
        <v>1</v>
      </c>
      <c r="BL60" s="4">
        <f t="shared" si="35"/>
        <v>1</v>
      </c>
      <c r="BM60" s="4">
        <f t="shared" si="36"/>
        <v>1</v>
      </c>
      <c r="BN60" s="4">
        <f t="shared" si="37"/>
        <v>2</v>
      </c>
      <c r="BO60" s="4">
        <f t="shared" si="38"/>
        <v>1</v>
      </c>
    </row>
    <row r="61" spans="1:67">
      <c r="A61" s="4">
        <v>0</v>
      </c>
      <c r="B61" s="4">
        <f>transform!A62</f>
        <v>3</v>
      </c>
      <c r="C61" s="4">
        <f>transform!B62</f>
        <v>2</v>
      </c>
      <c r="D61" s="4">
        <f>transform!C62</f>
        <v>8</v>
      </c>
      <c r="E61" s="4">
        <f>transform!D62</f>
        <v>40876</v>
      </c>
      <c r="F61" s="4">
        <f>transform!E62</f>
        <v>1</v>
      </c>
      <c r="G61" s="4">
        <f>transform!F62</f>
        <v>1991</v>
      </c>
      <c r="H61" s="4">
        <f>transform!G62</f>
        <v>1</v>
      </c>
      <c r="I61" s="4">
        <f>transform!H62</f>
        <v>1</v>
      </c>
      <c r="J61" s="4">
        <f>COUNTIF(Raw!AR62:CA62,1)/(COUNTIF(Raw!AR62:CA62,1)+COUNTIF(Raw!AR62:CA62,0))</f>
        <v>0.19047619047619</v>
      </c>
      <c r="K61" s="15">
        <v>0</v>
      </c>
      <c r="L61" s="15">
        <v>0</v>
      </c>
      <c r="M61" s="15">
        <v>0</v>
      </c>
      <c r="N61" s="4">
        <f>transform!CC62</f>
        <v>2</v>
      </c>
      <c r="O61" s="4">
        <f>transform!CD62</f>
        <v>2</v>
      </c>
      <c r="P61" s="4">
        <f>transform!CE62</f>
        <v>2</v>
      </c>
      <c r="Q61" s="4">
        <f>transform!CF62</f>
        <v>2</v>
      </c>
      <c r="R61" s="4">
        <f>transform!CG62</f>
        <v>1</v>
      </c>
      <c r="S61" s="4">
        <f>transform!CH62</f>
        <v>2</v>
      </c>
      <c r="T61" s="4">
        <f>transform!CI62</f>
        <v>0</v>
      </c>
      <c r="U61" s="4">
        <f>transform!CJ62</f>
        <v>2</v>
      </c>
      <c r="V61" s="4">
        <f t="shared" si="39"/>
        <v>0</v>
      </c>
      <c r="W61" s="4">
        <f t="shared" si="40"/>
        <v>0</v>
      </c>
      <c r="X61" s="4">
        <f t="shared" si="41"/>
        <v>1</v>
      </c>
      <c r="Y61" s="4">
        <f>transform!CK62</f>
        <v>2</v>
      </c>
      <c r="Z61" s="4">
        <f>transform!CL62</f>
        <v>0</v>
      </c>
      <c r="AA61" s="4">
        <f>transform!CM62</f>
        <v>2</v>
      </c>
      <c r="AB61" s="4">
        <f t="shared" si="42"/>
        <v>0</v>
      </c>
      <c r="AC61" s="4">
        <f t="shared" si="43"/>
        <v>0</v>
      </c>
      <c r="AD61" s="4">
        <f t="shared" si="44"/>
        <v>1</v>
      </c>
      <c r="AE61" s="4">
        <f>transform!CN62</f>
        <v>2</v>
      </c>
      <c r="AF61" s="4">
        <f>transform!CO62</f>
        <v>0</v>
      </c>
      <c r="AG61" s="4">
        <f>transform!CP62</f>
        <v>2</v>
      </c>
      <c r="AH61" s="4">
        <f t="shared" si="45"/>
        <v>0</v>
      </c>
      <c r="AI61" s="4">
        <f t="shared" si="46"/>
        <v>0</v>
      </c>
      <c r="AJ61" s="4">
        <f t="shared" si="47"/>
        <v>1</v>
      </c>
      <c r="AK61" s="4">
        <f>transform!CQ62</f>
        <v>2</v>
      </c>
      <c r="AL61" s="4">
        <f t="shared" si="9"/>
        <v>1</v>
      </c>
      <c r="AM61" s="4">
        <f t="shared" si="10"/>
        <v>2</v>
      </c>
      <c r="AN61" s="4">
        <f t="shared" si="11"/>
        <v>1</v>
      </c>
      <c r="AO61" s="4">
        <f t="shared" si="12"/>
        <v>1</v>
      </c>
      <c r="AP61" s="4">
        <f t="shared" si="13"/>
        <v>1</v>
      </c>
      <c r="AQ61" s="4">
        <f t="shared" si="14"/>
        <v>2</v>
      </c>
      <c r="AR61" s="4">
        <f t="shared" si="15"/>
        <v>1</v>
      </c>
      <c r="AS61" s="4">
        <f t="shared" si="16"/>
        <v>1</v>
      </c>
      <c r="AT61" s="4">
        <f t="shared" si="17"/>
        <v>1</v>
      </c>
      <c r="AU61" s="4">
        <f t="shared" si="18"/>
        <v>1</v>
      </c>
      <c r="AV61" s="4">
        <f t="shared" si="19"/>
        <v>2</v>
      </c>
      <c r="AW61" s="4">
        <f t="shared" si="20"/>
        <v>1</v>
      </c>
      <c r="AX61" s="4">
        <f t="shared" si="21"/>
        <v>1</v>
      </c>
      <c r="AY61" s="4">
        <f t="shared" si="22"/>
        <v>2</v>
      </c>
      <c r="AZ61" s="4">
        <f t="shared" si="23"/>
        <v>1</v>
      </c>
      <c r="BA61" s="4">
        <f t="shared" si="24"/>
        <v>1</v>
      </c>
      <c r="BB61" s="4">
        <f t="shared" si="25"/>
        <v>1</v>
      </c>
      <c r="BC61" s="4">
        <f t="shared" si="26"/>
        <v>1</v>
      </c>
      <c r="BD61" s="4">
        <f t="shared" si="27"/>
        <v>1</v>
      </c>
      <c r="BE61" s="4">
        <f t="shared" si="28"/>
        <v>2</v>
      </c>
      <c r="BF61" s="4">
        <f t="shared" si="29"/>
        <v>1</v>
      </c>
      <c r="BG61" s="4">
        <f t="shared" si="30"/>
        <v>1</v>
      </c>
      <c r="BH61" s="4">
        <f t="shared" si="31"/>
        <v>1</v>
      </c>
      <c r="BI61" s="4">
        <f t="shared" si="32"/>
        <v>1</v>
      </c>
      <c r="BJ61" s="4">
        <f t="shared" si="33"/>
        <v>1</v>
      </c>
      <c r="BK61" s="4">
        <f t="shared" si="34"/>
        <v>2</v>
      </c>
      <c r="BL61" s="4">
        <f t="shared" si="35"/>
        <v>1</v>
      </c>
      <c r="BM61" s="4">
        <f t="shared" si="36"/>
        <v>1</v>
      </c>
      <c r="BN61" s="4">
        <f t="shared" si="37"/>
        <v>1</v>
      </c>
      <c r="BO61" s="4">
        <f t="shared" si="38"/>
        <v>1</v>
      </c>
    </row>
    <row r="62" spans="1:67">
      <c r="A62" s="4">
        <v>0</v>
      </c>
      <c r="B62" s="4">
        <f>transform!A63</f>
        <v>4</v>
      </c>
      <c r="C62" s="4">
        <f>transform!B63</f>
        <v>2</v>
      </c>
      <c r="D62" s="4">
        <f>transform!C63</f>
        <v>1</v>
      </c>
      <c r="E62" s="4">
        <f>transform!D63</f>
        <v>40876</v>
      </c>
      <c r="F62" s="4">
        <f>transform!E63</f>
        <v>2</v>
      </c>
      <c r="G62" s="4">
        <f>transform!F63</f>
        <v>1989</v>
      </c>
      <c r="H62" s="4">
        <f>transform!G63</f>
        <v>4</v>
      </c>
      <c r="I62" s="4">
        <f>transform!H63</f>
        <v>1</v>
      </c>
      <c r="J62" s="4">
        <f>COUNTIF(Raw!AR63:CA63,1)/(COUNTIF(Raw!AR63:CA63,1)+COUNTIF(Raw!AR63:CA63,0))</f>
        <v>0.142857142857143</v>
      </c>
      <c r="K62" s="15">
        <v>0.428571428571429</v>
      </c>
      <c r="L62" s="15">
        <v>0</v>
      </c>
      <c r="M62" s="15">
        <v>1</v>
      </c>
      <c r="N62" s="4">
        <f>transform!CC63</f>
        <v>2</v>
      </c>
      <c r="O62" s="4">
        <f>transform!CD63</f>
        <v>2</v>
      </c>
      <c r="P62" s="4">
        <f>transform!CE63</f>
        <v>2</v>
      </c>
      <c r="Q62" s="4">
        <f>transform!CF63</f>
        <v>2</v>
      </c>
      <c r="R62" s="4">
        <f>transform!CG63</f>
        <v>1</v>
      </c>
      <c r="S62" s="4">
        <f>transform!CH63</f>
        <v>2</v>
      </c>
      <c r="T62" s="4">
        <f>transform!CI63</f>
        <v>1</v>
      </c>
      <c r="U62" s="4">
        <f>transform!CJ63</f>
        <v>2</v>
      </c>
      <c r="V62" s="4">
        <f t="shared" si="39"/>
        <v>0</v>
      </c>
      <c r="W62" s="4">
        <f t="shared" si="40"/>
        <v>1</v>
      </c>
      <c r="X62" s="4">
        <f t="shared" si="41"/>
        <v>3</v>
      </c>
      <c r="Y62" s="4">
        <f>transform!CK63</f>
        <v>2</v>
      </c>
      <c r="Z62" s="4">
        <f>transform!CL63</f>
        <v>1</v>
      </c>
      <c r="AA62" s="4">
        <f>transform!CM63</f>
        <v>2</v>
      </c>
      <c r="AB62" s="4">
        <f t="shared" si="42"/>
        <v>0</v>
      </c>
      <c r="AC62" s="4">
        <f t="shared" si="43"/>
        <v>1</v>
      </c>
      <c r="AD62" s="4">
        <f t="shared" si="44"/>
        <v>3</v>
      </c>
      <c r="AE62" s="4">
        <f>transform!CN63</f>
        <v>2</v>
      </c>
      <c r="AF62" s="4">
        <f>transform!CO63</f>
        <v>0</v>
      </c>
      <c r="AG62" s="4">
        <f>transform!CP63</f>
        <v>1</v>
      </c>
      <c r="AH62" s="4">
        <f t="shared" si="45"/>
        <v>0</v>
      </c>
      <c r="AI62" s="4">
        <f t="shared" si="46"/>
        <v>0</v>
      </c>
      <c r="AJ62" s="4">
        <f t="shared" si="47"/>
        <v>1</v>
      </c>
      <c r="AK62" s="4">
        <f>transform!CQ63</f>
        <v>2</v>
      </c>
      <c r="AL62" s="4">
        <f t="shared" si="9"/>
        <v>1</v>
      </c>
      <c r="AM62" s="4">
        <f t="shared" si="10"/>
        <v>2</v>
      </c>
      <c r="AN62" s="4">
        <f t="shared" si="11"/>
        <v>1</v>
      </c>
      <c r="AO62" s="4">
        <f t="shared" si="12"/>
        <v>1</v>
      </c>
      <c r="AP62" s="4">
        <f t="shared" si="13"/>
        <v>1</v>
      </c>
      <c r="AQ62" s="4">
        <f t="shared" si="14"/>
        <v>2</v>
      </c>
      <c r="AR62" s="4">
        <f t="shared" si="15"/>
        <v>1</v>
      </c>
      <c r="AS62" s="4">
        <f t="shared" si="16"/>
        <v>1</v>
      </c>
      <c r="AT62" s="4">
        <f t="shared" si="17"/>
        <v>1</v>
      </c>
      <c r="AU62" s="4">
        <f t="shared" si="18"/>
        <v>1</v>
      </c>
      <c r="AV62" s="4">
        <f t="shared" si="19"/>
        <v>2</v>
      </c>
      <c r="AW62" s="4">
        <f t="shared" si="20"/>
        <v>1</v>
      </c>
      <c r="AX62" s="4">
        <f t="shared" si="21"/>
        <v>1</v>
      </c>
      <c r="AY62" s="4">
        <f t="shared" si="22"/>
        <v>1</v>
      </c>
      <c r="AZ62" s="4">
        <f t="shared" si="23"/>
        <v>1</v>
      </c>
      <c r="BA62" s="4">
        <f t="shared" si="24"/>
        <v>2</v>
      </c>
      <c r="BB62" s="4">
        <f t="shared" si="25"/>
        <v>1</v>
      </c>
      <c r="BC62" s="4">
        <f t="shared" si="26"/>
        <v>1</v>
      </c>
      <c r="BD62" s="4">
        <f t="shared" si="27"/>
        <v>1</v>
      </c>
      <c r="BE62" s="4">
        <f t="shared" si="28"/>
        <v>1</v>
      </c>
      <c r="BF62" s="4">
        <f t="shared" si="29"/>
        <v>1</v>
      </c>
      <c r="BG62" s="4">
        <f t="shared" si="30"/>
        <v>2</v>
      </c>
      <c r="BH62" s="4">
        <f t="shared" si="31"/>
        <v>1</v>
      </c>
      <c r="BI62" s="4">
        <f t="shared" si="32"/>
        <v>1</v>
      </c>
      <c r="BJ62" s="4">
        <f t="shared" si="33"/>
        <v>1</v>
      </c>
      <c r="BK62" s="4">
        <f t="shared" si="34"/>
        <v>2</v>
      </c>
      <c r="BL62" s="4">
        <f t="shared" si="35"/>
        <v>1</v>
      </c>
      <c r="BM62" s="4">
        <f t="shared" si="36"/>
        <v>1</v>
      </c>
      <c r="BN62" s="4">
        <f t="shared" si="37"/>
        <v>1</v>
      </c>
      <c r="BO62" s="4">
        <f t="shared" si="38"/>
        <v>1</v>
      </c>
    </row>
    <row r="63" spans="1:67">
      <c r="A63" s="4">
        <v>0</v>
      </c>
      <c r="B63" s="4">
        <f>transform!A64</f>
        <v>4</v>
      </c>
      <c r="C63" s="4">
        <f>transform!B64</f>
        <v>2</v>
      </c>
      <c r="D63" s="4">
        <f>transform!C64</f>
        <v>2</v>
      </c>
      <c r="E63" s="4">
        <f>transform!D64</f>
        <v>40876</v>
      </c>
      <c r="F63" s="4">
        <f>transform!E64</f>
        <v>2</v>
      </c>
      <c r="G63" s="4">
        <f>transform!F64</f>
        <v>1991</v>
      </c>
      <c r="H63" s="4">
        <f>transform!G64</f>
        <v>4</v>
      </c>
      <c r="I63" s="4">
        <f>transform!H64</f>
        <v>1</v>
      </c>
      <c r="J63" s="4">
        <f>COUNTIF(Raw!AR64:CA64,1)/(COUNTIF(Raw!AR64:CA64,1)+COUNTIF(Raw!AR64:CA64,0))</f>
        <v>0.285714285714286</v>
      </c>
      <c r="K63" s="15">
        <v>0.285714285714286</v>
      </c>
      <c r="L63" s="15">
        <v>1</v>
      </c>
      <c r="M63" s="15">
        <v>1</v>
      </c>
      <c r="N63" s="4">
        <f>transform!CC64</f>
        <v>2</v>
      </c>
      <c r="O63" s="4">
        <f>transform!CD64</f>
        <v>2</v>
      </c>
      <c r="P63" s="4">
        <f>transform!CE64</f>
        <v>2</v>
      </c>
      <c r="Q63" s="4">
        <f>transform!CF64</f>
        <v>2</v>
      </c>
      <c r="R63" s="4">
        <f>transform!CG64</f>
        <v>1</v>
      </c>
      <c r="S63" s="4">
        <f>transform!CH64</f>
        <v>2</v>
      </c>
      <c r="T63" s="4">
        <f>transform!CI64</f>
        <v>1</v>
      </c>
      <c r="U63" s="4">
        <f>transform!CJ64</f>
        <v>1</v>
      </c>
      <c r="V63" s="4">
        <f t="shared" si="39"/>
        <v>1</v>
      </c>
      <c r="W63" s="4">
        <f t="shared" si="40"/>
        <v>0</v>
      </c>
      <c r="X63" s="4">
        <f t="shared" si="41"/>
        <v>2</v>
      </c>
      <c r="Y63" s="4">
        <f>transform!CK64</f>
        <v>1</v>
      </c>
      <c r="Z63" s="4">
        <f>transform!CL64</f>
        <v>1</v>
      </c>
      <c r="AA63" s="4">
        <f>transform!CM64</f>
        <v>2</v>
      </c>
      <c r="AB63" s="4">
        <f t="shared" si="42"/>
        <v>0</v>
      </c>
      <c r="AC63" s="4">
        <f t="shared" si="43"/>
        <v>1</v>
      </c>
      <c r="AD63" s="4">
        <f t="shared" si="44"/>
        <v>3</v>
      </c>
      <c r="AE63" s="4">
        <f>transform!CN64</f>
        <v>2</v>
      </c>
      <c r="AF63" s="4">
        <f>transform!CO64</f>
        <v>1</v>
      </c>
      <c r="AG63" s="4">
        <f>transform!CP64</f>
        <v>2</v>
      </c>
      <c r="AH63" s="4">
        <f t="shared" si="45"/>
        <v>0</v>
      </c>
      <c r="AI63" s="4">
        <f t="shared" si="46"/>
        <v>1</v>
      </c>
      <c r="AJ63" s="4">
        <f t="shared" si="47"/>
        <v>3</v>
      </c>
      <c r="AK63" s="4">
        <f>transform!CQ64</f>
        <v>1</v>
      </c>
      <c r="AL63" s="4">
        <f t="shared" si="9"/>
        <v>1</v>
      </c>
      <c r="AM63" s="4">
        <f t="shared" si="10"/>
        <v>2</v>
      </c>
      <c r="AN63" s="4">
        <f t="shared" si="11"/>
        <v>1</v>
      </c>
      <c r="AO63" s="4">
        <f t="shared" si="12"/>
        <v>1</v>
      </c>
      <c r="AP63" s="4">
        <f t="shared" si="13"/>
        <v>1</v>
      </c>
      <c r="AQ63" s="4">
        <f t="shared" si="14"/>
        <v>2</v>
      </c>
      <c r="AR63" s="4">
        <f t="shared" si="15"/>
        <v>1</v>
      </c>
      <c r="AS63" s="4">
        <f t="shared" si="16"/>
        <v>1</v>
      </c>
      <c r="AT63" s="4">
        <f t="shared" si="17"/>
        <v>1</v>
      </c>
      <c r="AU63" s="4">
        <f t="shared" si="18"/>
        <v>1</v>
      </c>
      <c r="AV63" s="4">
        <f t="shared" si="19"/>
        <v>2</v>
      </c>
      <c r="AW63" s="4">
        <f t="shared" si="20"/>
        <v>1</v>
      </c>
      <c r="AX63" s="4">
        <f t="shared" si="21"/>
        <v>1</v>
      </c>
      <c r="AY63" s="4">
        <f t="shared" si="22"/>
        <v>1</v>
      </c>
      <c r="AZ63" s="4">
        <f t="shared" si="23"/>
        <v>2</v>
      </c>
      <c r="BA63" s="4">
        <f t="shared" si="24"/>
        <v>1</v>
      </c>
      <c r="BB63" s="4">
        <f t="shared" si="25"/>
        <v>1</v>
      </c>
      <c r="BC63" s="4">
        <f t="shared" si="26"/>
        <v>1</v>
      </c>
      <c r="BD63" s="4">
        <f t="shared" si="27"/>
        <v>1</v>
      </c>
      <c r="BE63" s="4">
        <f t="shared" si="28"/>
        <v>1</v>
      </c>
      <c r="BF63" s="4">
        <f t="shared" si="29"/>
        <v>1</v>
      </c>
      <c r="BG63" s="4">
        <f t="shared" si="30"/>
        <v>2</v>
      </c>
      <c r="BH63" s="4">
        <f t="shared" si="31"/>
        <v>1</v>
      </c>
      <c r="BI63" s="4">
        <f t="shared" si="32"/>
        <v>1</v>
      </c>
      <c r="BJ63" s="4">
        <f t="shared" si="33"/>
        <v>1</v>
      </c>
      <c r="BK63" s="4">
        <f t="shared" si="34"/>
        <v>1</v>
      </c>
      <c r="BL63" s="4">
        <f t="shared" si="35"/>
        <v>1</v>
      </c>
      <c r="BM63" s="4">
        <f t="shared" si="36"/>
        <v>1</v>
      </c>
      <c r="BN63" s="4">
        <f t="shared" si="37"/>
        <v>1</v>
      </c>
      <c r="BO63" s="4">
        <f t="shared" si="38"/>
        <v>2</v>
      </c>
    </row>
    <row r="64" spans="1:67">
      <c r="A64" s="4">
        <v>0</v>
      </c>
      <c r="B64" s="4">
        <f>transform!A65</f>
        <v>4</v>
      </c>
      <c r="C64" s="4">
        <f>transform!B65</f>
        <v>2</v>
      </c>
      <c r="D64" s="4">
        <f>transform!C65</f>
        <v>3</v>
      </c>
      <c r="E64" s="4">
        <f>transform!D65</f>
        <v>40876</v>
      </c>
      <c r="F64" s="4">
        <f>transform!E65</f>
        <v>2</v>
      </c>
      <c r="G64" s="4">
        <f>transform!F65</f>
        <v>1993</v>
      </c>
      <c r="H64" s="4">
        <f>transform!G65</f>
        <v>3</v>
      </c>
      <c r="I64" s="4">
        <f>transform!H65</f>
        <v>1</v>
      </c>
      <c r="J64" s="4">
        <f>COUNTIF(Raw!AR65:CA65,1)/(COUNTIF(Raw!AR65:CA65,1)+COUNTIF(Raw!AR65:CA65,0))</f>
        <v>0.0476190476190476</v>
      </c>
      <c r="K64" s="15">
        <v>0</v>
      </c>
      <c r="L64" s="15">
        <v>0</v>
      </c>
      <c r="M64" s="15">
        <v>0</v>
      </c>
      <c r="N64" s="4">
        <f>transform!CC65</f>
        <v>2</v>
      </c>
      <c r="O64" s="4">
        <f>transform!CD65</f>
        <v>2</v>
      </c>
      <c r="P64" s="4">
        <f>transform!CE65</f>
        <v>1</v>
      </c>
      <c r="Q64" s="4">
        <f>transform!CF65</f>
        <v>1</v>
      </c>
      <c r="R64" s="4">
        <f>transform!CG65</f>
        <v>1</v>
      </c>
      <c r="S64" s="4">
        <f>transform!CH65</f>
        <v>1</v>
      </c>
      <c r="T64" s="4">
        <f>transform!CI65</f>
        <v>0</v>
      </c>
      <c r="U64" s="4">
        <f>transform!CJ65</f>
        <v>2</v>
      </c>
      <c r="V64" s="4">
        <f t="shared" si="39"/>
        <v>0</v>
      </c>
      <c r="W64" s="4">
        <f t="shared" si="40"/>
        <v>0</v>
      </c>
      <c r="X64" s="4">
        <f t="shared" si="41"/>
        <v>1</v>
      </c>
      <c r="Y64" s="4">
        <f>transform!CK65</f>
        <v>2</v>
      </c>
      <c r="Z64" s="4">
        <f>transform!CL65</f>
        <v>1</v>
      </c>
      <c r="AA64" s="4">
        <f>transform!CM65</f>
        <v>1</v>
      </c>
      <c r="AB64" s="4">
        <f t="shared" si="42"/>
        <v>1</v>
      </c>
      <c r="AC64" s="4">
        <f t="shared" si="43"/>
        <v>0</v>
      </c>
      <c r="AD64" s="4">
        <f t="shared" si="44"/>
        <v>2</v>
      </c>
      <c r="AE64" s="4">
        <f>transform!CN65</f>
        <v>2</v>
      </c>
      <c r="AF64" s="4">
        <f>transform!CO65</f>
        <v>1</v>
      </c>
      <c r="AG64" s="4">
        <f>transform!CP65</f>
        <v>1</v>
      </c>
      <c r="AH64" s="4">
        <f t="shared" si="45"/>
        <v>1</v>
      </c>
      <c r="AI64" s="4">
        <f t="shared" si="46"/>
        <v>0</v>
      </c>
      <c r="AJ64" s="4">
        <f t="shared" si="47"/>
        <v>2</v>
      </c>
      <c r="AK64" s="4">
        <f>transform!CQ65</f>
        <v>1</v>
      </c>
      <c r="AL64" s="4">
        <f t="shared" si="9"/>
        <v>1</v>
      </c>
      <c r="AM64" s="4">
        <f t="shared" si="10"/>
        <v>2</v>
      </c>
      <c r="AN64" s="4">
        <f t="shared" si="11"/>
        <v>1</v>
      </c>
      <c r="AO64" s="4">
        <f t="shared" si="12"/>
        <v>1</v>
      </c>
      <c r="AP64" s="4">
        <f t="shared" si="13"/>
        <v>2</v>
      </c>
      <c r="AQ64" s="4">
        <f t="shared" si="14"/>
        <v>1</v>
      </c>
      <c r="AR64" s="4">
        <f t="shared" si="15"/>
        <v>1</v>
      </c>
      <c r="AS64" s="4">
        <f t="shared" si="16"/>
        <v>1</v>
      </c>
      <c r="AT64" s="4">
        <f t="shared" si="17"/>
        <v>2</v>
      </c>
      <c r="AU64" s="4">
        <f t="shared" si="18"/>
        <v>1</v>
      </c>
      <c r="AV64" s="4">
        <f t="shared" si="19"/>
        <v>1</v>
      </c>
      <c r="AW64" s="4">
        <f t="shared" si="20"/>
        <v>1</v>
      </c>
      <c r="AX64" s="4">
        <f t="shared" si="21"/>
        <v>1</v>
      </c>
      <c r="AY64" s="4">
        <f t="shared" si="22"/>
        <v>2</v>
      </c>
      <c r="AZ64" s="4">
        <f t="shared" si="23"/>
        <v>1</v>
      </c>
      <c r="BA64" s="4">
        <f t="shared" si="24"/>
        <v>1</v>
      </c>
      <c r="BB64" s="4">
        <f t="shared" si="25"/>
        <v>1</v>
      </c>
      <c r="BC64" s="4">
        <f t="shared" si="26"/>
        <v>1</v>
      </c>
      <c r="BD64" s="4">
        <f t="shared" si="27"/>
        <v>1</v>
      </c>
      <c r="BE64" s="4">
        <f t="shared" si="28"/>
        <v>1</v>
      </c>
      <c r="BF64" s="4">
        <f t="shared" si="29"/>
        <v>1</v>
      </c>
      <c r="BG64" s="4">
        <f t="shared" si="30"/>
        <v>1</v>
      </c>
      <c r="BH64" s="4">
        <f t="shared" si="31"/>
        <v>2</v>
      </c>
      <c r="BI64" s="4">
        <f t="shared" si="32"/>
        <v>1</v>
      </c>
      <c r="BJ64" s="4">
        <f t="shared" si="33"/>
        <v>1</v>
      </c>
      <c r="BK64" s="4">
        <f t="shared" si="34"/>
        <v>1</v>
      </c>
      <c r="BL64" s="4">
        <f t="shared" si="35"/>
        <v>2</v>
      </c>
      <c r="BM64" s="4">
        <f t="shared" si="36"/>
        <v>1</v>
      </c>
      <c r="BN64" s="4">
        <f t="shared" si="37"/>
        <v>1</v>
      </c>
      <c r="BO64" s="4">
        <f t="shared" si="38"/>
        <v>1</v>
      </c>
    </row>
    <row r="65" spans="1:67">
      <c r="A65" s="4">
        <v>0</v>
      </c>
      <c r="B65" s="4">
        <f>transform!A66</f>
        <v>4</v>
      </c>
      <c r="C65" s="4">
        <f>transform!B66</f>
        <v>2</v>
      </c>
      <c r="D65" s="4">
        <f>transform!C66</f>
        <v>4</v>
      </c>
      <c r="E65" s="4">
        <f>transform!D66</f>
        <v>40876</v>
      </c>
      <c r="F65" s="4">
        <f>transform!E66</f>
        <v>2</v>
      </c>
      <c r="G65" s="4">
        <f>transform!F66</f>
        <v>1992</v>
      </c>
      <c r="H65" s="4">
        <f>transform!G66</f>
        <v>4</v>
      </c>
      <c r="I65" s="4">
        <f>transform!H66</f>
        <v>1</v>
      </c>
      <c r="J65" s="4">
        <f>COUNTIF(Raw!AR66:CA66,1)/(COUNTIF(Raw!AR66:CA66,1)+COUNTIF(Raw!AR66:CA66,0))</f>
        <v>0.19047619047619</v>
      </c>
      <c r="K65" s="15">
        <v>0.142857142857143</v>
      </c>
      <c r="L65" s="15">
        <v>0</v>
      </c>
      <c r="M65" s="15">
        <v>1</v>
      </c>
      <c r="N65" s="4">
        <f>transform!CC66</f>
        <v>2</v>
      </c>
      <c r="O65" s="4">
        <f>transform!CD66</f>
        <v>1</v>
      </c>
      <c r="P65" s="4">
        <f>transform!CE66</f>
        <v>2</v>
      </c>
      <c r="Q65" s="4">
        <f>transform!CF66</f>
        <v>1</v>
      </c>
      <c r="R65" s="4">
        <f>transform!CG66</f>
        <v>2</v>
      </c>
      <c r="S65" s="4">
        <f>transform!CH66</f>
        <v>1</v>
      </c>
      <c r="T65" s="4">
        <f>transform!CI66</f>
        <v>0</v>
      </c>
      <c r="U65" s="4">
        <f>transform!CJ66</f>
        <v>2</v>
      </c>
      <c r="V65" s="4">
        <f t="shared" si="39"/>
        <v>0</v>
      </c>
      <c r="W65" s="4">
        <f t="shared" si="40"/>
        <v>0</v>
      </c>
      <c r="X65" s="4">
        <f t="shared" si="41"/>
        <v>1</v>
      </c>
      <c r="Y65" s="4">
        <f>transform!CK66</f>
        <v>1</v>
      </c>
      <c r="Z65" s="4">
        <f>transform!CL66</f>
        <v>0</v>
      </c>
      <c r="AA65" s="4">
        <f>transform!CM66</f>
        <v>2</v>
      </c>
      <c r="AB65" s="4">
        <f t="shared" si="42"/>
        <v>0</v>
      </c>
      <c r="AC65" s="4">
        <f t="shared" si="43"/>
        <v>0</v>
      </c>
      <c r="AD65" s="4">
        <f t="shared" si="44"/>
        <v>1</v>
      </c>
      <c r="AE65" s="4">
        <f>transform!CN66</f>
        <v>1</v>
      </c>
      <c r="AF65" s="4">
        <f>transform!CO66</f>
        <v>0</v>
      </c>
      <c r="AG65" s="4">
        <f>transform!CP66</f>
        <v>2</v>
      </c>
      <c r="AH65" s="4">
        <f t="shared" si="45"/>
        <v>0</v>
      </c>
      <c r="AI65" s="4">
        <f t="shared" si="46"/>
        <v>0</v>
      </c>
      <c r="AJ65" s="4">
        <f t="shared" si="47"/>
        <v>1</v>
      </c>
      <c r="AK65" s="4">
        <f>transform!CQ66</f>
        <v>1</v>
      </c>
      <c r="AL65" s="4">
        <f t="shared" si="9"/>
        <v>1</v>
      </c>
      <c r="AM65" s="4">
        <f t="shared" si="10"/>
        <v>1</v>
      </c>
      <c r="AN65" s="4">
        <f t="shared" si="11"/>
        <v>1</v>
      </c>
      <c r="AO65" s="4">
        <f t="shared" si="12"/>
        <v>2</v>
      </c>
      <c r="AP65" s="4">
        <f t="shared" si="13"/>
        <v>1</v>
      </c>
      <c r="AQ65" s="4">
        <f t="shared" si="14"/>
        <v>1</v>
      </c>
      <c r="AR65" s="4">
        <f t="shared" si="15"/>
        <v>1</v>
      </c>
      <c r="AS65" s="4">
        <f t="shared" si="16"/>
        <v>2</v>
      </c>
      <c r="AT65" s="4">
        <f t="shared" si="17"/>
        <v>1</v>
      </c>
      <c r="AU65" s="4">
        <f t="shared" si="18"/>
        <v>1</v>
      </c>
      <c r="AV65" s="4">
        <f t="shared" si="19"/>
        <v>1</v>
      </c>
      <c r="AW65" s="4">
        <f t="shared" si="20"/>
        <v>2</v>
      </c>
      <c r="AX65" s="4">
        <f t="shared" si="21"/>
        <v>2</v>
      </c>
      <c r="AY65" s="4">
        <f t="shared" si="22"/>
        <v>1</v>
      </c>
      <c r="AZ65" s="4">
        <f t="shared" si="23"/>
        <v>1</v>
      </c>
      <c r="BA65" s="4">
        <f t="shared" si="24"/>
        <v>1</v>
      </c>
      <c r="BB65" s="4">
        <f t="shared" si="25"/>
        <v>1</v>
      </c>
      <c r="BC65" s="4">
        <f t="shared" si="26"/>
        <v>1</v>
      </c>
      <c r="BD65" s="4">
        <f t="shared" si="27"/>
        <v>2</v>
      </c>
      <c r="BE65" s="4">
        <f t="shared" si="28"/>
        <v>1</v>
      </c>
      <c r="BF65" s="4">
        <f t="shared" si="29"/>
        <v>1</v>
      </c>
      <c r="BG65" s="4">
        <f t="shared" si="30"/>
        <v>1</v>
      </c>
      <c r="BH65" s="4">
        <f t="shared" si="31"/>
        <v>1</v>
      </c>
      <c r="BI65" s="4">
        <f t="shared" si="32"/>
        <v>1</v>
      </c>
      <c r="BJ65" s="4">
        <f t="shared" si="33"/>
        <v>2</v>
      </c>
      <c r="BK65" s="4">
        <f t="shared" si="34"/>
        <v>1</v>
      </c>
      <c r="BL65" s="4">
        <f t="shared" si="35"/>
        <v>1</v>
      </c>
      <c r="BM65" s="4">
        <f t="shared" si="36"/>
        <v>1</v>
      </c>
      <c r="BN65" s="4">
        <f t="shared" si="37"/>
        <v>1</v>
      </c>
      <c r="BO65" s="4">
        <f t="shared" si="38"/>
        <v>1</v>
      </c>
    </row>
    <row r="66" spans="1:67">
      <c r="A66" s="4">
        <v>0</v>
      </c>
      <c r="B66" s="4">
        <f>transform!A67</f>
        <v>4</v>
      </c>
      <c r="C66" s="4">
        <f>transform!B67</f>
        <v>2</v>
      </c>
      <c r="D66" s="4">
        <f>transform!C67</f>
        <v>5</v>
      </c>
      <c r="E66" s="4">
        <f>transform!D67</f>
        <v>40876</v>
      </c>
      <c r="F66" s="4">
        <f>transform!E67</f>
        <v>2</v>
      </c>
      <c r="G66" s="4">
        <f>transform!F67</f>
        <v>0</v>
      </c>
      <c r="H66" s="4">
        <f>transform!G67</f>
        <v>4</v>
      </c>
      <c r="I66" s="4">
        <f>transform!H67</f>
        <v>1</v>
      </c>
      <c r="J66" s="4">
        <f>COUNTIF(Raw!AR67:CA67,1)/(COUNTIF(Raw!AR67:CA67,1)+COUNTIF(Raw!AR67:CA67,0))</f>
        <v>0.380952380952381</v>
      </c>
      <c r="K66" s="15">
        <v>0</v>
      </c>
      <c r="L66" s="15">
        <v>1</v>
      </c>
      <c r="M66" s="15">
        <v>0</v>
      </c>
      <c r="N66" s="4">
        <f>transform!CC67</f>
        <v>2</v>
      </c>
      <c r="O66" s="4">
        <f>transform!CD67</f>
        <v>2</v>
      </c>
      <c r="P66" s="4">
        <f>transform!CE67</f>
        <v>2</v>
      </c>
      <c r="Q66" s="4">
        <f>transform!CF67</f>
        <v>2</v>
      </c>
      <c r="R66" s="4">
        <f>transform!CG67</f>
        <v>2</v>
      </c>
      <c r="S66" s="4">
        <f>transform!CH67</f>
        <v>2</v>
      </c>
      <c r="T66" s="4">
        <f>transform!CI67</f>
        <v>0</v>
      </c>
      <c r="U66" s="4">
        <f>transform!CJ67</f>
        <v>2</v>
      </c>
      <c r="V66" s="4">
        <f t="shared" ref="V66:V70" si="48">IF(T66=1,IF(U66=1,1,0),0)</f>
        <v>0</v>
      </c>
      <c r="W66" s="4">
        <f t="shared" si="40"/>
        <v>0</v>
      </c>
      <c r="X66" s="4">
        <f t="shared" si="41"/>
        <v>1</v>
      </c>
      <c r="Y66" s="4">
        <f>transform!CK67</f>
        <v>2</v>
      </c>
      <c r="Z66" s="4">
        <f>transform!CL67</f>
        <v>0</v>
      </c>
      <c r="AA66" s="4">
        <f>transform!CM67</f>
        <v>2</v>
      </c>
      <c r="AB66" s="4">
        <f t="shared" ref="AB66:AB70" si="49">IF(Z66=1,IF(AA66=1,1,0),0)</f>
        <v>0</v>
      </c>
      <c r="AC66" s="4">
        <f t="shared" si="43"/>
        <v>0</v>
      </c>
      <c r="AD66" s="4">
        <f t="shared" si="44"/>
        <v>1</v>
      </c>
      <c r="AE66" s="4">
        <f>transform!CN67</f>
        <v>2</v>
      </c>
      <c r="AF66" s="4">
        <f>transform!CO67</f>
        <v>0</v>
      </c>
      <c r="AG66" s="4">
        <f>transform!CP67</f>
        <v>2</v>
      </c>
      <c r="AH66" s="4">
        <f t="shared" ref="AH66:AH70" si="50">IF(AF66=1,IF(AG66=1,1,0),0)</f>
        <v>0</v>
      </c>
      <c r="AI66" s="4">
        <f t="shared" si="46"/>
        <v>0</v>
      </c>
      <c r="AJ66" s="4">
        <f t="shared" si="47"/>
        <v>1</v>
      </c>
      <c r="AK66" s="4">
        <f>transform!CQ67</f>
        <v>2</v>
      </c>
      <c r="AL66" s="4">
        <f t="shared" si="9"/>
        <v>1</v>
      </c>
      <c r="AM66" s="4">
        <f t="shared" si="10"/>
        <v>2</v>
      </c>
      <c r="AN66" s="4">
        <f t="shared" si="11"/>
        <v>1</v>
      </c>
      <c r="AO66" s="4">
        <f t="shared" si="12"/>
        <v>1</v>
      </c>
      <c r="AP66" s="4">
        <f t="shared" si="13"/>
        <v>1</v>
      </c>
      <c r="AQ66" s="4">
        <f t="shared" si="14"/>
        <v>2</v>
      </c>
      <c r="AR66" s="4">
        <f t="shared" si="15"/>
        <v>1</v>
      </c>
      <c r="AS66" s="4">
        <f t="shared" si="16"/>
        <v>1</v>
      </c>
      <c r="AT66" s="4">
        <f t="shared" si="17"/>
        <v>1</v>
      </c>
      <c r="AU66" s="4">
        <f t="shared" si="18"/>
        <v>2</v>
      </c>
      <c r="AV66" s="4">
        <f t="shared" si="19"/>
        <v>1</v>
      </c>
      <c r="AW66" s="4">
        <f t="shared" si="20"/>
        <v>1</v>
      </c>
      <c r="AX66" s="4">
        <f t="shared" si="21"/>
        <v>1</v>
      </c>
      <c r="AY66" s="4">
        <f t="shared" si="22"/>
        <v>2</v>
      </c>
      <c r="AZ66" s="4">
        <f t="shared" si="23"/>
        <v>1</v>
      </c>
      <c r="BA66" s="4">
        <f t="shared" si="24"/>
        <v>1</v>
      </c>
      <c r="BB66" s="4">
        <f t="shared" si="25"/>
        <v>1</v>
      </c>
      <c r="BC66" s="4">
        <f t="shared" si="26"/>
        <v>1</v>
      </c>
      <c r="BD66" s="4">
        <f t="shared" si="27"/>
        <v>1</v>
      </c>
      <c r="BE66" s="4">
        <f t="shared" si="28"/>
        <v>2</v>
      </c>
      <c r="BF66" s="4">
        <f t="shared" si="29"/>
        <v>1</v>
      </c>
      <c r="BG66" s="4">
        <f t="shared" si="30"/>
        <v>1</v>
      </c>
      <c r="BH66" s="4">
        <f t="shared" si="31"/>
        <v>1</v>
      </c>
      <c r="BI66" s="4">
        <f t="shared" si="32"/>
        <v>1</v>
      </c>
      <c r="BJ66" s="4">
        <f t="shared" si="33"/>
        <v>1</v>
      </c>
      <c r="BK66" s="4">
        <f t="shared" si="34"/>
        <v>2</v>
      </c>
      <c r="BL66" s="4">
        <f t="shared" si="35"/>
        <v>1</v>
      </c>
      <c r="BM66" s="4">
        <f t="shared" si="36"/>
        <v>1</v>
      </c>
      <c r="BN66" s="4">
        <f t="shared" si="37"/>
        <v>1</v>
      </c>
      <c r="BO66" s="4">
        <f t="shared" si="38"/>
        <v>1</v>
      </c>
    </row>
    <row r="67" spans="1:67">
      <c r="A67" s="4">
        <v>0</v>
      </c>
      <c r="B67" s="4">
        <f>transform!A68</f>
        <v>4</v>
      </c>
      <c r="C67" s="4">
        <f>transform!B68</f>
        <v>2</v>
      </c>
      <c r="D67" s="4">
        <f>transform!C68</f>
        <v>6</v>
      </c>
      <c r="E67" s="4">
        <f>transform!D68</f>
        <v>40876</v>
      </c>
      <c r="F67" s="4">
        <f>transform!E68</f>
        <v>2</v>
      </c>
      <c r="G67" s="4">
        <f>transform!F68</f>
        <v>1992</v>
      </c>
      <c r="H67" s="4">
        <f>transform!G68</f>
        <v>3</v>
      </c>
      <c r="I67" s="4">
        <f>transform!H68</f>
        <v>1</v>
      </c>
      <c r="J67" s="4">
        <f>COUNTIF(Raw!AR68:CA68,1)/(COUNTIF(Raw!AR68:CA68,1)+COUNTIF(Raw!AR68:CA68,0))</f>
        <v>0.285714285714286</v>
      </c>
      <c r="K67" s="15">
        <v>0</v>
      </c>
      <c r="L67" s="15">
        <v>1</v>
      </c>
      <c r="M67" s="15">
        <v>0</v>
      </c>
      <c r="N67" s="4">
        <f>transform!CC68</f>
        <v>2</v>
      </c>
      <c r="O67" s="4">
        <f>transform!CD68</f>
        <v>2</v>
      </c>
      <c r="P67" s="4">
        <f>transform!CE68</f>
        <v>2</v>
      </c>
      <c r="Q67" s="4">
        <f>transform!CF68</f>
        <v>2</v>
      </c>
      <c r="R67" s="4">
        <f>transform!CG68</f>
        <v>2</v>
      </c>
      <c r="S67" s="4">
        <f>transform!CH68</f>
        <v>1</v>
      </c>
      <c r="T67" s="4">
        <f>transform!CI68</f>
        <v>1</v>
      </c>
      <c r="U67" s="4">
        <f>transform!CJ68</f>
        <v>2</v>
      </c>
      <c r="V67" s="4">
        <f t="shared" si="48"/>
        <v>0</v>
      </c>
      <c r="W67" s="4">
        <f t="shared" si="40"/>
        <v>1</v>
      </c>
      <c r="X67" s="4">
        <f t="shared" si="41"/>
        <v>3</v>
      </c>
      <c r="Y67" s="4">
        <f>transform!CK68</f>
        <v>2</v>
      </c>
      <c r="Z67" s="4">
        <f>transform!CL68</f>
        <v>1</v>
      </c>
      <c r="AA67" s="4">
        <f>transform!CM68</f>
        <v>1</v>
      </c>
      <c r="AB67" s="4">
        <f t="shared" si="49"/>
        <v>1</v>
      </c>
      <c r="AC67" s="4">
        <f t="shared" si="43"/>
        <v>0</v>
      </c>
      <c r="AD67" s="4">
        <f t="shared" si="44"/>
        <v>2</v>
      </c>
      <c r="AE67" s="4">
        <f>transform!CN68</f>
        <v>1</v>
      </c>
      <c r="AF67" s="4">
        <f>transform!CO68</f>
        <v>0</v>
      </c>
      <c r="AG67" s="4">
        <f>transform!CP68</f>
        <v>1</v>
      </c>
      <c r="AH67" s="4">
        <f t="shared" si="50"/>
        <v>0</v>
      </c>
      <c r="AI67" s="4">
        <f t="shared" si="46"/>
        <v>0</v>
      </c>
      <c r="AJ67" s="4">
        <f t="shared" si="47"/>
        <v>1</v>
      </c>
      <c r="AK67" s="4">
        <f>transform!CQ68</f>
        <v>1</v>
      </c>
      <c r="AL67" s="4">
        <f t="shared" ref="AL67:AL70" si="51">IF(AND($N67=1,$O67=1),2,1)</f>
        <v>1</v>
      </c>
      <c r="AM67" s="4">
        <f t="shared" ref="AM67:AM70" si="52">IF(AND($N67=2,$O67=2),2,1)</f>
        <v>2</v>
      </c>
      <c r="AN67" s="4">
        <f t="shared" ref="AN67:AN70" si="53">IF(AND($N67=1,$O67=2),2,1)</f>
        <v>1</v>
      </c>
      <c r="AO67" s="4">
        <f t="shared" ref="AO67:AO70" si="54">IF(AND($N67=2,$O67=1),2,1)</f>
        <v>1</v>
      </c>
      <c r="AP67" s="4">
        <f t="shared" ref="AP67:AP70" si="55">IF(AND($P67=1,$Q67=1),2,1)</f>
        <v>1</v>
      </c>
      <c r="AQ67" s="4">
        <f t="shared" ref="AQ67:AQ70" si="56">IF(AND($P67=2,$Q67=2),2,1)</f>
        <v>2</v>
      </c>
      <c r="AR67" s="4">
        <f t="shared" ref="AR67:AR70" si="57">IF(AND($P67=1,$Q67=2),2,1)</f>
        <v>1</v>
      </c>
      <c r="AS67" s="4">
        <f t="shared" ref="AS67:AS70" si="58">IF(AND($P67=2,$Q67=1),2,1)</f>
        <v>1</v>
      </c>
      <c r="AT67" s="4">
        <f t="shared" ref="AT67:AT70" si="59">IF(AND($R67=1,$S67=1),2,1)</f>
        <v>1</v>
      </c>
      <c r="AU67" s="4">
        <f t="shared" ref="AU67:AU70" si="60">IF(AND($R67=2,$S67=2),2,1)</f>
        <v>1</v>
      </c>
      <c r="AV67" s="4">
        <f t="shared" ref="AV67:AV70" si="61">IF(AND($R67=1,$S67=2),2,1)</f>
        <v>1</v>
      </c>
      <c r="AW67" s="4">
        <f t="shared" ref="AW67:AW70" si="62">IF(AND($R67=2,$S67=1),2,1)</f>
        <v>2</v>
      </c>
      <c r="AX67" s="4">
        <f t="shared" ref="AX67:AX70" si="63">IF(AND($T67=0,$Y67=1),2,1)</f>
        <v>1</v>
      </c>
      <c r="AY67" s="4">
        <f t="shared" ref="AY67:AY70" si="64">IF(AND($T67=0,$Y67=2),2,1)</f>
        <v>1</v>
      </c>
      <c r="AZ67" s="4">
        <f t="shared" ref="AZ67:AZ70" si="65">IF(AND($T67=1,$U67=1,$Y67=1),2,1)</f>
        <v>1</v>
      </c>
      <c r="BA67" s="4">
        <f t="shared" ref="BA67:BA70" si="66">IF(AND($T67=1,$U67=2,$Y67=2),2,1)</f>
        <v>2</v>
      </c>
      <c r="BB67" s="4">
        <f t="shared" ref="BB67:BB70" si="67">IF(AND($T67=1,$U67=1,$Y67=2),2,1)</f>
        <v>1</v>
      </c>
      <c r="BC67" s="4">
        <f t="shared" ref="BC67:BC70" si="68">IF(AND($T67=1,$U67=2,$Y67=1),2,1)</f>
        <v>1</v>
      </c>
      <c r="BD67" s="4">
        <f t="shared" ref="BD67:BD70" si="69">IF(AND($Z67=0,$AE67=1),2,1)</f>
        <v>1</v>
      </c>
      <c r="BE67" s="4">
        <f t="shared" ref="BE67:BE70" si="70">IF(AND($Z67=0,$AE67=2),2,1)</f>
        <v>1</v>
      </c>
      <c r="BF67" s="4">
        <f t="shared" ref="BF67:BF70" si="71">IF(AND($Z67=1,$AA67=1,$AE67=1),2,1)</f>
        <v>2</v>
      </c>
      <c r="BG67" s="4">
        <f t="shared" ref="BG67:BG70" si="72">IF(AND($Z67=1,$AA67=2,$AE67=2),2,1)</f>
        <v>1</v>
      </c>
      <c r="BH67" s="4">
        <f t="shared" ref="BH67:BH70" si="73">IF(AND($Z67=1,$AA67=1,$AE67=2),2,1)</f>
        <v>1</v>
      </c>
      <c r="BI67" s="4">
        <f t="shared" ref="BI67:BI70" si="74">IF(AND($Z67=1,$AA67=2,$AE67=1),2,1)</f>
        <v>1</v>
      </c>
      <c r="BJ67" s="4">
        <f t="shared" ref="BJ67:BJ70" si="75">IF(AND($AF67=0,$AK67=1),2,1)</f>
        <v>2</v>
      </c>
      <c r="BK67" s="4">
        <f t="shared" ref="BK67:BK70" si="76">IF(AND($AF67=0,$AK67=2),2,1)</f>
        <v>1</v>
      </c>
      <c r="BL67" s="4">
        <f t="shared" ref="BL67:BL70" si="77">IF(AND($AF67=1,$AG67=1,$AK67=1),2,1)</f>
        <v>1</v>
      </c>
      <c r="BM67" s="4">
        <f t="shared" ref="BM67:BM70" si="78">IF(AND($AF67=1,$AG67=2,$AK67=2),2,1)</f>
        <v>1</v>
      </c>
      <c r="BN67" s="4">
        <f t="shared" ref="BN67:BN70" si="79">IF(AND($AF67=1,$AG67=1,$AK67=2),2,1)</f>
        <v>1</v>
      </c>
      <c r="BO67" s="4">
        <f t="shared" ref="BO67:BO70" si="80">IF(AND($AF67=1,$AG67=2,$AK67=1),2,1)</f>
        <v>1</v>
      </c>
    </row>
    <row r="68" spans="1:67">
      <c r="A68" s="4">
        <v>0</v>
      </c>
      <c r="B68" s="4">
        <f>transform!A69</f>
        <v>4</v>
      </c>
      <c r="C68" s="4">
        <f>transform!B69</f>
        <v>2</v>
      </c>
      <c r="D68" s="4">
        <f>transform!C69</f>
        <v>7</v>
      </c>
      <c r="E68" s="4">
        <f>transform!D69</f>
        <v>40883</v>
      </c>
      <c r="F68" s="4">
        <f>transform!E69</f>
        <v>2</v>
      </c>
      <c r="G68" s="4">
        <f>transform!F69</f>
        <v>1988</v>
      </c>
      <c r="H68" s="4">
        <f>transform!G69</f>
        <v>3</v>
      </c>
      <c r="I68" s="4">
        <f>transform!H69</f>
        <v>1</v>
      </c>
      <c r="J68" s="4">
        <f>COUNTIF(Raw!AR69:CA69,1)/(COUNTIF(Raw!AR69:CA69,1)+COUNTIF(Raw!AR69:CA69,0))</f>
        <v>0.19047619047619</v>
      </c>
      <c r="K68" s="15">
        <v>0.428571428571429</v>
      </c>
      <c r="L68" s="15">
        <v>0</v>
      </c>
      <c r="M68" s="15">
        <v>1</v>
      </c>
      <c r="N68" s="4">
        <f>transform!CC69</f>
        <v>2</v>
      </c>
      <c r="O68" s="4">
        <f>transform!CD69</f>
        <v>2</v>
      </c>
      <c r="P68" s="4">
        <f>transform!CE69</f>
        <v>2</v>
      </c>
      <c r="Q68" s="4">
        <f>transform!CF69</f>
        <v>2</v>
      </c>
      <c r="R68" s="4">
        <f>transform!CG69</f>
        <v>2</v>
      </c>
      <c r="S68" s="4">
        <f>transform!CH69</f>
        <v>2</v>
      </c>
      <c r="T68" s="4">
        <f>transform!CI69</f>
        <v>0</v>
      </c>
      <c r="U68" s="4">
        <f>transform!CJ69</f>
        <v>1</v>
      </c>
      <c r="V68" s="4">
        <f t="shared" si="48"/>
        <v>0</v>
      </c>
      <c r="W68" s="4">
        <f t="shared" si="40"/>
        <v>0</v>
      </c>
      <c r="X68" s="4">
        <f t="shared" si="41"/>
        <v>1</v>
      </c>
      <c r="Y68" s="4">
        <f>transform!CK69</f>
        <v>1</v>
      </c>
      <c r="Z68" s="4">
        <f>transform!CL69</f>
        <v>0</v>
      </c>
      <c r="AA68" s="4">
        <f>transform!CM69</f>
        <v>1</v>
      </c>
      <c r="AB68" s="4">
        <f t="shared" si="49"/>
        <v>0</v>
      </c>
      <c r="AC68" s="4">
        <f t="shared" si="43"/>
        <v>0</v>
      </c>
      <c r="AD68" s="4">
        <f t="shared" si="44"/>
        <v>1</v>
      </c>
      <c r="AE68" s="4">
        <f>transform!CN69</f>
        <v>1</v>
      </c>
      <c r="AF68" s="4">
        <f>transform!CO69</f>
        <v>0</v>
      </c>
      <c r="AG68" s="4">
        <f>transform!CP69</f>
        <v>1</v>
      </c>
      <c r="AH68" s="4">
        <f t="shared" si="50"/>
        <v>0</v>
      </c>
      <c r="AI68" s="4">
        <f t="shared" si="46"/>
        <v>0</v>
      </c>
      <c r="AJ68" s="4">
        <f t="shared" si="47"/>
        <v>1</v>
      </c>
      <c r="AK68" s="4">
        <f>transform!CQ69</f>
        <v>1</v>
      </c>
      <c r="AL68" s="4">
        <f t="shared" si="51"/>
        <v>1</v>
      </c>
      <c r="AM68" s="4">
        <f t="shared" si="52"/>
        <v>2</v>
      </c>
      <c r="AN68" s="4">
        <f t="shared" si="53"/>
        <v>1</v>
      </c>
      <c r="AO68" s="4">
        <f t="shared" si="54"/>
        <v>1</v>
      </c>
      <c r="AP68" s="4">
        <f t="shared" si="55"/>
        <v>1</v>
      </c>
      <c r="AQ68" s="4">
        <f t="shared" si="56"/>
        <v>2</v>
      </c>
      <c r="AR68" s="4">
        <f t="shared" si="57"/>
        <v>1</v>
      </c>
      <c r="AS68" s="4">
        <f t="shared" si="58"/>
        <v>1</v>
      </c>
      <c r="AT68" s="4">
        <f t="shared" si="59"/>
        <v>1</v>
      </c>
      <c r="AU68" s="4">
        <f t="shared" si="60"/>
        <v>2</v>
      </c>
      <c r="AV68" s="4">
        <f t="shared" si="61"/>
        <v>1</v>
      </c>
      <c r="AW68" s="4">
        <f t="shared" si="62"/>
        <v>1</v>
      </c>
      <c r="AX68" s="4">
        <f t="shared" si="63"/>
        <v>2</v>
      </c>
      <c r="AY68" s="4">
        <f t="shared" si="64"/>
        <v>1</v>
      </c>
      <c r="AZ68" s="4">
        <f t="shared" si="65"/>
        <v>1</v>
      </c>
      <c r="BA68" s="4">
        <f t="shared" si="66"/>
        <v>1</v>
      </c>
      <c r="BB68" s="4">
        <f t="shared" si="67"/>
        <v>1</v>
      </c>
      <c r="BC68" s="4">
        <f t="shared" si="68"/>
        <v>1</v>
      </c>
      <c r="BD68" s="4">
        <f t="shared" si="69"/>
        <v>2</v>
      </c>
      <c r="BE68" s="4">
        <f t="shared" si="70"/>
        <v>1</v>
      </c>
      <c r="BF68" s="4">
        <f t="shared" si="71"/>
        <v>1</v>
      </c>
      <c r="BG68" s="4">
        <f t="shared" si="72"/>
        <v>1</v>
      </c>
      <c r="BH68" s="4">
        <f t="shared" si="73"/>
        <v>1</v>
      </c>
      <c r="BI68" s="4">
        <f t="shared" si="74"/>
        <v>1</v>
      </c>
      <c r="BJ68" s="4">
        <f t="shared" si="75"/>
        <v>2</v>
      </c>
      <c r="BK68" s="4">
        <f t="shared" si="76"/>
        <v>1</v>
      </c>
      <c r="BL68" s="4">
        <f t="shared" si="77"/>
        <v>1</v>
      </c>
      <c r="BM68" s="4">
        <f t="shared" si="78"/>
        <v>1</v>
      </c>
      <c r="BN68" s="4">
        <f t="shared" si="79"/>
        <v>1</v>
      </c>
      <c r="BO68" s="4">
        <f t="shared" si="80"/>
        <v>1</v>
      </c>
    </row>
    <row r="69" spans="1:67">
      <c r="A69" s="4">
        <v>0</v>
      </c>
      <c r="B69" s="4">
        <f>transform!A70</f>
        <v>4</v>
      </c>
      <c r="C69" s="4">
        <f>transform!B70</f>
        <v>2</v>
      </c>
      <c r="D69" s="4">
        <f>transform!C70</f>
        <v>8</v>
      </c>
      <c r="E69" s="4">
        <f>transform!D70</f>
        <v>40876</v>
      </c>
      <c r="F69" s="4">
        <f>transform!E70</f>
        <v>2</v>
      </c>
      <c r="G69" s="4">
        <f>transform!F70</f>
        <v>1989</v>
      </c>
      <c r="H69" s="4">
        <f>transform!G70</f>
        <v>6</v>
      </c>
      <c r="I69" s="4">
        <f>transform!H70</f>
        <v>1</v>
      </c>
      <c r="J69" s="4">
        <f>COUNTIF(Raw!AR70:CA70,1)/(COUNTIF(Raw!AR70:CA70,1)+COUNTIF(Raw!AR70:CA70,0))</f>
        <v>0.142857142857143</v>
      </c>
      <c r="K69" s="15">
        <v>0</v>
      </c>
      <c r="L69" s="15">
        <v>0</v>
      </c>
      <c r="M69" s="15">
        <v>0</v>
      </c>
      <c r="N69" s="4">
        <f>transform!CC70</f>
        <v>1</v>
      </c>
      <c r="O69" s="4">
        <f>transform!CD70</f>
        <v>1</v>
      </c>
      <c r="P69" s="4">
        <f>transform!CE70</f>
        <v>1</v>
      </c>
      <c r="Q69" s="4">
        <f>transform!CF70</f>
        <v>1</v>
      </c>
      <c r="R69" s="4">
        <f>transform!CG70</f>
        <v>1</v>
      </c>
      <c r="S69" s="4">
        <f>transform!CH70</f>
        <v>1</v>
      </c>
      <c r="T69" s="4">
        <f>transform!CI70</f>
        <v>1</v>
      </c>
      <c r="U69" s="4">
        <f>transform!CJ70</f>
        <v>1</v>
      </c>
      <c r="V69" s="4">
        <f t="shared" si="48"/>
        <v>1</v>
      </c>
      <c r="W69" s="4">
        <f t="shared" si="40"/>
        <v>0</v>
      </c>
      <c r="X69" s="4">
        <f t="shared" si="41"/>
        <v>2</v>
      </c>
      <c r="Y69" s="4">
        <f>transform!CK70</f>
        <v>1</v>
      </c>
      <c r="Z69" s="4">
        <f>transform!CL70</f>
        <v>1</v>
      </c>
      <c r="AA69" s="4">
        <f>transform!CM70</f>
        <v>1</v>
      </c>
      <c r="AB69" s="4">
        <f t="shared" si="49"/>
        <v>1</v>
      </c>
      <c r="AC69" s="4">
        <f t="shared" si="43"/>
        <v>0</v>
      </c>
      <c r="AD69" s="4">
        <f t="shared" si="44"/>
        <v>2</v>
      </c>
      <c r="AE69" s="4">
        <f>transform!CN70</f>
        <v>1</v>
      </c>
      <c r="AF69" s="4">
        <f>transform!CO70</f>
        <v>1</v>
      </c>
      <c r="AG69" s="4">
        <f>transform!CP70</f>
        <v>1</v>
      </c>
      <c r="AH69" s="4">
        <f t="shared" si="50"/>
        <v>1</v>
      </c>
      <c r="AI69" s="4">
        <f t="shared" si="46"/>
        <v>0</v>
      </c>
      <c r="AJ69" s="4">
        <f t="shared" si="47"/>
        <v>2</v>
      </c>
      <c r="AK69" s="4">
        <f>transform!CQ70</f>
        <v>1</v>
      </c>
      <c r="AL69" s="4">
        <f t="shared" si="51"/>
        <v>2</v>
      </c>
      <c r="AM69" s="4">
        <f t="shared" si="52"/>
        <v>1</v>
      </c>
      <c r="AN69" s="4">
        <f t="shared" si="53"/>
        <v>1</v>
      </c>
      <c r="AO69" s="4">
        <f t="shared" si="54"/>
        <v>1</v>
      </c>
      <c r="AP69" s="4">
        <f t="shared" si="55"/>
        <v>2</v>
      </c>
      <c r="AQ69" s="4">
        <f t="shared" si="56"/>
        <v>1</v>
      </c>
      <c r="AR69" s="4">
        <f t="shared" si="57"/>
        <v>1</v>
      </c>
      <c r="AS69" s="4">
        <f t="shared" si="58"/>
        <v>1</v>
      </c>
      <c r="AT69" s="4">
        <f t="shared" si="59"/>
        <v>2</v>
      </c>
      <c r="AU69" s="4">
        <f t="shared" si="60"/>
        <v>1</v>
      </c>
      <c r="AV69" s="4">
        <f t="shared" si="61"/>
        <v>1</v>
      </c>
      <c r="AW69" s="4">
        <f t="shared" si="62"/>
        <v>1</v>
      </c>
      <c r="AX69" s="4">
        <f t="shared" si="63"/>
        <v>1</v>
      </c>
      <c r="AY69" s="4">
        <f t="shared" si="64"/>
        <v>1</v>
      </c>
      <c r="AZ69" s="4">
        <f t="shared" si="65"/>
        <v>2</v>
      </c>
      <c r="BA69" s="4">
        <f t="shared" si="66"/>
        <v>1</v>
      </c>
      <c r="BB69" s="4">
        <f t="shared" si="67"/>
        <v>1</v>
      </c>
      <c r="BC69" s="4">
        <f t="shared" si="68"/>
        <v>1</v>
      </c>
      <c r="BD69" s="4">
        <f t="shared" si="69"/>
        <v>1</v>
      </c>
      <c r="BE69" s="4">
        <f t="shared" si="70"/>
        <v>1</v>
      </c>
      <c r="BF69" s="4">
        <f t="shared" si="71"/>
        <v>2</v>
      </c>
      <c r="BG69" s="4">
        <f t="shared" si="72"/>
        <v>1</v>
      </c>
      <c r="BH69" s="4">
        <f t="shared" si="73"/>
        <v>1</v>
      </c>
      <c r="BI69" s="4">
        <f t="shared" si="74"/>
        <v>1</v>
      </c>
      <c r="BJ69" s="4">
        <f t="shared" si="75"/>
        <v>1</v>
      </c>
      <c r="BK69" s="4">
        <f t="shared" si="76"/>
        <v>1</v>
      </c>
      <c r="BL69" s="4">
        <f t="shared" si="77"/>
        <v>2</v>
      </c>
      <c r="BM69" s="4">
        <f t="shared" si="78"/>
        <v>1</v>
      </c>
      <c r="BN69" s="4">
        <f t="shared" si="79"/>
        <v>1</v>
      </c>
      <c r="BO69" s="4">
        <f t="shared" si="80"/>
        <v>1</v>
      </c>
    </row>
    <row r="70" spans="1:67">
      <c r="A70" s="4">
        <v>0</v>
      </c>
      <c r="B70" s="4">
        <f>transform!A71</f>
        <v>4</v>
      </c>
      <c r="C70" s="4">
        <f>transform!B71</f>
        <v>2</v>
      </c>
      <c r="D70" s="4">
        <f>transform!C71</f>
        <v>9</v>
      </c>
      <c r="E70" s="4">
        <f>transform!D71</f>
        <v>40876</v>
      </c>
      <c r="F70" s="4">
        <f>transform!E71</f>
        <v>2</v>
      </c>
      <c r="G70" s="4">
        <f>transform!F71</f>
        <v>1990</v>
      </c>
      <c r="H70" s="4">
        <f>transform!G71</f>
        <v>4</v>
      </c>
      <c r="I70" s="4">
        <f>transform!H71</f>
        <v>1</v>
      </c>
      <c r="J70" s="4">
        <f>COUNTIF(Raw!AR71:CA71,1)/(COUNTIF(Raw!AR71:CA71,1)+COUNTIF(Raw!AR71:CA71,0))</f>
        <v>0.178571428571429</v>
      </c>
      <c r="K70" s="15">
        <v>0</v>
      </c>
      <c r="L70" s="15">
        <v>0</v>
      </c>
      <c r="M70" s="15">
        <v>0</v>
      </c>
      <c r="N70" s="4">
        <f>transform!CC71</f>
        <v>2</v>
      </c>
      <c r="O70" s="4">
        <f>transform!CD71</f>
        <v>2</v>
      </c>
      <c r="P70" s="4">
        <f>transform!CE71</f>
        <v>1</v>
      </c>
      <c r="Q70" s="4">
        <f>transform!CF71</f>
        <v>1</v>
      </c>
      <c r="R70" s="4">
        <f>transform!CG71</f>
        <v>2</v>
      </c>
      <c r="S70" s="4">
        <f>transform!CH71</f>
        <v>1</v>
      </c>
      <c r="T70" s="4">
        <f>transform!CI71</f>
        <v>0</v>
      </c>
      <c r="U70" s="4">
        <f>transform!CJ71</f>
        <v>2</v>
      </c>
      <c r="V70" s="4">
        <f t="shared" si="48"/>
        <v>0</v>
      </c>
      <c r="W70" s="4">
        <f t="shared" si="40"/>
        <v>0</v>
      </c>
      <c r="X70" s="4">
        <f t="shared" si="41"/>
        <v>1</v>
      </c>
      <c r="Y70" s="4">
        <f>transform!CK71</f>
        <v>2</v>
      </c>
      <c r="Z70" s="4">
        <f>transform!CL71</f>
        <v>0</v>
      </c>
      <c r="AA70" s="4">
        <f>transform!CM71</f>
        <v>1</v>
      </c>
      <c r="AB70" s="4">
        <f t="shared" si="49"/>
        <v>0</v>
      </c>
      <c r="AC70" s="4">
        <f t="shared" si="43"/>
        <v>0</v>
      </c>
      <c r="AD70" s="4">
        <f t="shared" si="44"/>
        <v>1</v>
      </c>
      <c r="AE70" s="4">
        <f>transform!CN71</f>
        <v>2</v>
      </c>
      <c r="AF70" s="4">
        <f>transform!CO71</f>
        <v>0</v>
      </c>
      <c r="AG70" s="4">
        <f>transform!CP71</f>
        <v>2</v>
      </c>
      <c r="AH70" s="4">
        <f t="shared" si="50"/>
        <v>0</v>
      </c>
      <c r="AI70" s="4">
        <f t="shared" si="46"/>
        <v>0</v>
      </c>
      <c r="AJ70" s="4">
        <f t="shared" si="47"/>
        <v>1</v>
      </c>
      <c r="AK70" s="4">
        <f>transform!CQ71</f>
        <v>1</v>
      </c>
      <c r="AL70" s="4">
        <f t="shared" si="51"/>
        <v>1</v>
      </c>
      <c r="AM70" s="4">
        <f t="shared" si="52"/>
        <v>2</v>
      </c>
      <c r="AN70" s="4">
        <f t="shared" si="53"/>
        <v>1</v>
      </c>
      <c r="AO70" s="4">
        <f t="shared" si="54"/>
        <v>1</v>
      </c>
      <c r="AP70" s="4">
        <f t="shared" si="55"/>
        <v>2</v>
      </c>
      <c r="AQ70" s="4">
        <f t="shared" si="56"/>
        <v>1</v>
      </c>
      <c r="AR70" s="4">
        <f t="shared" si="57"/>
        <v>1</v>
      </c>
      <c r="AS70" s="4">
        <f t="shared" si="58"/>
        <v>1</v>
      </c>
      <c r="AT70" s="4">
        <f t="shared" si="59"/>
        <v>1</v>
      </c>
      <c r="AU70" s="4">
        <f t="shared" si="60"/>
        <v>1</v>
      </c>
      <c r="AV70" s="4">
        <f t="shared" si="61"/>
        <v>1</v>
      </c>
      <c r="AW70" s="4">
        <f t="shared" si="62"/>
        <v>2</v>
      </c>
      <c r="AX70" s="4">
        <f t="shared" si="63"/>
        <v>1</v>
      </c>
      <c r="AY70" s="4">
        <f t="shared" si="64"/>
        <v>2</v>
      </c>
      <c r="AZ70" s="4">
        <f t="shared" si="65"/>
        <v>1</v>
      </c>
      <c r="BA70" s="4">
        <f t="shared" si="66"/>
        <v>1</v>
      </c>
      <c r="BB70" s="4">
        <f t="shared" si="67"/>
        <v>1</v>
      </c>
      <c r="BC70" s="4">
        <f t="shared" si="68"/>
        <v>1</v>
      </c>
      <c r="BD70" s="4">
        <f t="shared" si="69"/>
        <v>1</v>
      </c>
      <c r="BE70" s="4">
        <f t="shared" si="70"/>
        <v>2</v>
      </c>
      <c r="BF70" s="4">
        <f t="shared" si="71"/>
        <v>1</v>
      </c>
      <c r="BG70" s="4">
        <f t="shared" si="72"/>
        <v>1</v>
      </c>
      <c r="BH70" s="4">
        <f t="shared" si="73"/>
        <v>1</v>
      </c>
      <c r="BI70" s="4">
        <f t="shared" si="74"/>
        <v>1</v>
      </c>
      <c r="BJ70" s="4">
        <f t="shared" si="75"/>
        <v>2</v>
      </c>
      <c r="BK70" s="4">
        <f t="shared" si="76"/>
        <v>1</v>
      </c>
      <c r="BL70" s="4">
        <f t="shared" si="77"/>
        <v>1</v>
      </c>
      <c r="BM70" s="4">
        <f t="shared" si="78"/>
        <v>1</v>
      </c>
      <c r="BN70" s="4">
        <f t="shared" si="79"/>
        <v>1</v>
      </c>
      <c r="BO70" s="4">
        <f t="shared" si="80"/>
        <v>1</v>
      </c>
    </row>
  </sheetData>
  <sortState ref="A2:BP70">
    <sortCondition ref="C2:C70"/>
    <sortCondition ref="B2:B70"/>
    <sortCondition ref="D2:D70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1"/>
  <sheetViews>
    <sheetView workbookViewId="0">
      <selection activeCell="AA18" sqref="AA18"/>
    </sheetView>
  </sheetViews>
  <sheetFormatPr defaultColWidth="8.83636363636364" defaultRowHeight="14"/>
  <cols>
    <col min="1" max="4" width="8.83636363636364" style="4"/>
    <col min="5" max="5" width="16" style="4" customWidth="1"/>
    <col min="6" max="6" width="9.66363636363636" style="4" customWidth="1"/>
    <col min="7" max="7" width="9.33636363636364" style="4" customWidth="1"/>
    <col min="8" max="8" width="8.83636363636364" style="4"/>
    <col min="9" max="9" width="13.1636363636364" style="4" customWidth="1"/>
    <col min="10" max="10" width="19" style="4" customWidth="1"/>
    <col min="11" max="11" width="8" style="4" customWidth="1"/>
    <col min="12" max="20" width="8.83636363636364" style="4"/>
    <col min="21" max="21" width="9.66363636363636" style="4" customWidth="1"/>
    <col min="22" max="26" width="8.83636363636364" style="4"/>
    <col min="27" max="27" width="9.83636363636364" style="4" customWidth="1"/>
    <col min="28" max="32" width="8.83636363636364" style="4"/>
    <col min="33" max="33" width="9.66363636363636" style="4" customWidth="1"/>
    <col min="34" max="16384" width="8.83636363636364" style="4"/>
  </cols>
  <sheetData>
    <row r="1" s="9" customFormat="1" ht="14.75" spans="1:44">
      <c r="A1" s="5" t="s">
        <v>542</v>
      </c>
      <c r="B1" s="5" t="s">
        <v>0</v>
      </c>
      <c r="C1" s="5" t="s">
        <v>323</v>
      </c>
      <c r="D1" s="5" t="s">
        <v>1</v>
      </c>
      <c r="E1" s="5" t="s">
        <v>324</v>
      </c>
      <c r="F1" s="5" t="s">
        <v>325</v>
      </c>
      <c r="G1" s="5" t="s">
        <v>326</v>
      </c>
      <c r="H1" s="5" t="s">
        <v>5</v>
      </c>
      <c r="I1" s="5" t="s">
        <v>327</v>
      </c>
      <c r="J1" s="5" t="s">
        <v>584</v>
      </c>
      <c r="K1" s="5" t="s">
        <v>400</v>
      </c>
      <c r="L1" s="5" t="s">
        <v>401</v>
      </c>
      <c r="M1" s="5" t="s">
        <v>402</v>
      </c>
      <c r="N1" s="5" t="s">
        <v>403</v>
      </c>
      <c r="O1" s="5" t="s">
        <v>404</v>
      </c>
      <c r="P1" s="5" t="s">
        <v>405</v>
      </c>
      <c r="Q1" s="5" t="s">
        <v>406</v>
      </c>
      <c r="R1" s="5" t="s">
        <v>407</v>
      </c>
      <c r="S1" s="5" t="s">
        <v>545</v>
      </c>
      <c r="T1" s="5" t="s">
        <v>546</v>
      </c>
      <c r="U1" s="5" t="s">
        <v>547</v>
      </c>
      <c r="V1" s="10" t="s">
        <v>408</v>
      </c>
      <c r="W1" s="5" t="s">
        <v>409</v>
      </c>
      <c r="X1" s="5" t="s">
        <v>410</v>
      </c>
      <c r="Y1" s="5" t="s">
        <v>548</v>
      </c>
      <c r="Z1" s="5" t="s">
        <v>549</v>
      </c>
      <c r="AA1" s="5" t="s">
        <v>550</v>
      </c>
      <c r="AB1" s="5" t="s">
        <v>411</v>
      </c>
      <c r="AC1" s="5" t="s">
        <v>412</v>
      </c>
      <c r="AD1" s="5" t="s">
        <v>413</v>
      </c>
      <c r="AE1" s="5" t="s">
        <v>551</v>
      </c>
      <c r="AF1" s="5" t="s">
        <v>552</v>
      </c>
      <c r="AG1" s="5" t="s">
        <v>553</v>
      </c>
      <c r="AH1" s="5" t="s">
        <v>414</v>
      </c>
      <c r="AI1" s="6" t="s">
        <v>554</v>
      </c>
      <c r="AJ1" s="6" t="s">
        <v>555</v>
      </c>
      <c r="AK1" s="6" t="s">
        <v>556</v>
      </c>
      <c r="AL1" s="6" t="s">
        <v>557</v>
      </c>
      <c r="AM1" s="5" t="s">
        <v>566</v>
      </c>
      <c r="AN1" s="5" t="s">
        <v>567</v>
      </c>
      <c r="AO1" s="5" t="s">
        <v>568</v>
      </c>
      <c r="AP1" s="5" t="s">
        <v>569</v>
      </c>
      <c r="AQ1" s="5" t="s">
        <v>570</v>
      </c>
      <c r="AR1" s="5" t="s">
        <v>571</v>
      </c>
    </row>
    <row r="2" spans="1:44">
      <c r="A2" s="4">
        <v>0</v>
      </c>
      <c r="B2" s="4">
        <f>transform!A11</f>
        <v>2</v>
      </c>
      <c r="C2" s="4">
        <f>transform!B11</f>
        <v>1</v>
      </c>
      <c r="D2" s="4">
        <f>transform!C11</f>
        <v>3</v>
      </c>
      <c r="E2" s="7">
        <f>transform!D11</f>
        <v>40876</v>
      </c>
      <c r="F2" s="4">
        <f>transform!E11</f>
        <v>1</v>
      </c>
      <c r="G2" s="4">
        <f>transform!F11</f>
        <v>1982</v>
      </c>
      <c r="H2" s="8">
        <f>transform!G11</f>
        <v>5</v>
      </c>
      <c r="I2" s="8">
        <f>transform!H11</f>
        <v>1</v>
      </c>
      <c r="J2" s="4">
        <f>COUNTIF(Raw!AR11:CA11,1)/(COUNTIF(Raw!AR11:CA11,1)+COUNTIF(Raw!AR11:CA11,0))</f>
        <v>1</v>
      </c>
      <c r="K2" s="4">
        <f>transform!CC11</f>
        <v>2</v>
      </c>
      <c r="L2" s="4">
        <f>transform!CD11</f>
        <v>2</v>
      </c>
      <c r="M2" s="4">
        <f>transform!CE11</f>
        <v>2</v>
      </c>
      <c r="N2" s="4">
        <f>transform!CF11</f>
        <v>2</v>
      </c>
      <c r="O2" s="4">
        <f>transform!CG11</f>
        <v>2</v>
      </c>
      <c r="P2" s="4">
        <f>transform!CH11</f>
        <v>2</v>
      </c>
      <c r="Q2" s="4">
        <f>transform!CI11</f>
        <v>0</v>
      </c>
      <c r="R2" s="4">
        <f>transform!CJ11</f>
        <v>2</v>
      </c>
      <c r="S2" s="4">
        <f>IF(Q2=1,IF(R2=1,1,0),0)</f>
        <v>0</v>
      </c>
      <c r="T2" s="4">
        <f>IF(Q2=1,IF(R2=2,1,0),0)</f>
        <v>0</v>
      </c>
      <c r="U2" s="4">
        <f t="shared" ref="U2:U31" si="0">IF(Q2=1,R2+1,IF(NOT(R2=0),1,0))</f>
        <v>1</v>
      </c>
      <c r="V2" s="4">
        <f>transform!CK11</f>
        <v>2</v>
      </c>
      <c r="W2" s="4">
        <f>transform!CL11</f>
        <v>0</v>
      </c>
      <c r="X2" s="4">
        <f>transform!CM11</f>
        <v>2</v>
      </c>
      <c r="Y2" s="4">
        <f>IF(W2=1,IF(X2=1,1,0),0)</f>
        <v>0</v>
      </c>
      <c r="Z2" s="4">
        <f>IF(W2=1,IF(X2=2,1,0),0)</f>
        <v>0</v>
      </c>
      <c r="AA2" s="4">
        <f t="shared" ref="AA2:AA31" si="1">IF(W2=1,X2+1,IF(NOT(X2=0),1,0))</f>
        <v>1</v>
      </c>
      <c r="AB2" s="4">
        <f>transform!CN11</f>
        <v>2</v>
      </c>
      <c r="AC2" s="4">
        <f>transform!CO11</f>
        <v>0</v>
      </c>
      <c r="AD2" s="4">
        <f>transform!CP11</f>
        <v>2</v>
      </c>
      <c r="AE2" s="4">
        <f>IF(AC2=1,IF(AD2=1,1,0),0)</f>
        <v>0</v>
      </c>
      <c r="AF2" s="4">
        <f>IF(AC2=1,IF(AD2=2,1,0),0)</f>
        <v>0</v>
      </c>
      <c r="AG2" s="4">
        <f t="shared" ref="AG2:AG31" si="2">IF(AC2=1,AD2+1,IF(NOT(AD2=0),1,0))</f>
        <v>1</v>
      </c>
      <c r="AH2" s="4">
        <f>transform!CQ11</f>
        <v>2</v>
      </c>
      <c r="AI2" s="4">
        <f>IF(AND($K2=1,$L2=1),2,1)</f>
        <v>1</v>
      </c>
      <c r="AJ2" s="4">
        <f>IF(AND($K2=2,$L2=2),2,1)</f>
        <v>2</v>
      </c>
      <c r="AK2" s="4">
        <f>IF(AND($K2=1,$L2=2),2,1)</f>
        <v>1</v>
      </c>
      <c r="AL2" s="4">
        <f>IF(AND($K2=2,$L2=1),2,1)</f>
        <v>1</v>
      </c>
      <c r="AM2" s="4">
        <f>IF(AND($Q2=0,$V2=1),2,1)</f>
        <v>1</v>
      </c>
      <c r="AN2" s="4">
        <f>IF(AND($Q2=0,$V2=2),2,1)</f>
        <v>2</v>
      </c>
      <c r="AO2" s="4">
        <f>IF(AND($Q2=1,$R2=1,$V2=1),2,1)</f>
        <v>1</v>
      </c>
      <c r="AP2" s="4">
        <f>IF(AND($Q2=1,$R2=2,$V2=2),2,1)</f>
        <v>1</v>
      </c>
      <c r="AQ2" s="4">
        <f>IF(AND($Q2=1,$R2=1,$V2=2),2,1)</f>
        <v>1</v>
      </c>
      <c r="AR2" s="4">
        <f>IF(AND($Q2=1,$R2=2,$V2=1),2,1)</f>
        <v>1</v>
      </c>
    </row>
    <row r="3" spans="1:44">
      <c r="A3" s="4">
        <v>0</v>
      </c>
      <c r="B3" s="4">
        <f>transform!A15</f>
        <v>2</v>
      </c>
      <c r="C3" s="4">
        <f>transform!B15</f>
        <v>1</v>
      </c>
      <c r="D3" s="4">
        <f>transform!C15</f>
        <v>7</v>
      </c>
      <c r="E3" s="7">
        <f>transform!D15</f>
        <v>40876</v>
      </c>
      <c r="F3" s="4">
        <f>transform!E15</f>
        <v>1</v>
      </c>
      <c r="G3" s="4">
        <f>transform!F15</f>
        <v>1986</v>
      </c>
      <c r="H3" s="8">
        <f>transform!G15</f>
        <v>4</v>
      </c>
      <c r="I3" s="8">
        <f>transform!H15</f>
        <v>1</v>
      </c>
      <c r="J3" s="4">
        <f>COUNTIF(Raw!AR15:CA15,1)/(COUNTIF(Raw!AR15:CA15,1)+COUNTIF(Raw!AR15:CA15,0))</f>
        <v>1</v>
      </c>
      <c r="K3" s="4">
        <f>transform!CC15</f>
        <v>2</v>
      </c>
      <c r="L3" s="4">
        <f>transform!CD15</f>
        <v>2</v>
      </c>
      <c r="M3" s="4">
        <f>transform!CE15</f>
        <v>1</v>
      </c>
      <c r="N3" s="4">
        <f>transform!CF15</f>
        <v>2</v>
      </c>
      <c r="O3" s="4">
        <f>transform!CG15</f>
        <v>1</v>
      </c>
      <c r="P3" s="4">
        <f>transform!CH15</f>
        <v>2</v>
      </c>
      <c r="Q3" s="4">
        <f>transform!CI15</f>
        <v>0</v>
      </c>
      <c r="R3" s="4">
        <f>transform!CJ15</f>
        <v>2</v>
      </c>
      <c r="S3" s="4">
        <f t="shared" ref="S3:S31" si="3">IF(Q3=1,IF(R3=1,1,0),0)</f>
        <v>0</v>
      </c>
      <c r="T3" s="4">
        <f t="shared" ref="T3:T31" si="4">IF(Q3=1,IF(R3=2,1,0),0)</f>
        <v>0</v>
      </c>
      <c r="U3" s="4">
        <f t="shared" si="0"/>
        <v>1</v>
      </c>
      <c r="V3" s="4">
        <f>transform!CK15</f>
        <v>2</v>
      </c>
      <c r="W3" s="4">
        <f>transform!CL15</f>
        <v>0</v>
      </c>
      <c r="X3" s="4">
        <f>transform!CM15</f>
        <v>2</v>
      </c>
      <c r="Y3" s="4">
        <f t="shared" ref="Y3:Y31" si="5">IF(W3=1,IF(X3=1,1,0),0)</f>
        <v>0</v>
      </c>
      <c r="Z3" s="4">
        <f t="shared" ref="Z3:Z31" si="6">IF(W3=1,IF(X3=2,1,0),0)</f>
        <v>0</v>
      </c>
      <c r="AA3" s="4">
        <f t="shared" si="1"/>
        <v>1</v>
      </c>
      <c r="AB3" s="4">
        <f>transform!CN15</f>
        <v>2</v>
      </c>
      <c r="AC3" s="4">
        <f>transform!CO15</f>
        <v>0</v>
      </c>
      <c r="AD3" s="4">
        <f>transform!CP15</f>
        <v>2</v>
      </c>
      <c r="AE3" s="4">
        <f t="shared" ref="AE3:AE31" si="7">IF(AC3=1,IF(AD3=1,1,0),0)</f>
        <v>0</v>
      </c>
      <c r="AF3" s="4">
        <f t="shared" ref="AF3:AF31" si="8">IF(AC3=1,IF(AD3=2,1,0),0)</f>
        <v>0</v>
      </c>
      <c r="AG3" s="4">
        <f t="shared" si="2"/>
        <v>1</v>
      </c>
      <c r="AH3" s="4">
        <f>transform!CQ15</f>
        <v>2</v>
      </c>
      <c r="AI3" s="4">
        <f t="shared" ref="AI3:AI31" si="9">IF(AND($K3=1,$L3=1),2,1)</f>
        <v>1</v>
      </c>
      <c r="AJ3" s="4">
        <f t="shared" ref="AJ3:AJ31" si="10">IF(AND($K3=2,$L3=2),2,1)</f>
        <v>2</v>
      </c>
      <c r="AK3" s="4">
        <f t="shared" ref="AK3:AK31" si="11">IF(AND($K3=1,$L3=2),2,1)</f>
        <v>1</v>
      </c>
      <c r="AL3" s="4">
        <f t="shared" ref="AL3:AL31" si="12">IF(AND($K3=2,$L3=1),2,1)</f>
        <v>1</v>
      </c>
      <c r="AM3" s="4">
        <f t="shared" ref="AM3:AM31" si="13">IF(AND($Q3=0,$V3=1),2,1)</f>
        <v>1</v>
      </c>
      <c r="AN3" s="4">
        <f t="shared" ref="AN3:AN31" si="14">IF(AND($Q3=0,$V3=2),2,1)</f>
        <v>2</v>
      </c>
      <c r="AO3" s="4">
        <f t="shared" ref="AO3:AO31" si="15">IF(AND($Q3=1,$R3=1,$V3=1),2,1)</f>
        <v>1</v>
      </c>
      <c r="AP3" s="4">
        <f t="shared" ref="AP3:AP31" si="16">IF(AND($Q3=1,$R3=2,$V3=2),2,1)</f>
        <v>1</v>
      </c>
      <c r="AQ3" s="4">
        <f t="shared" ref="AQ3:AQ31" si="17">IF(AND($Q3=1,$R3=1,$V3=2),2,1)</f>
        <v>1</v>
      </c>
      <c r="AR3" s="4">
        <f t="shared" ref="AR3:AR31" si="18">IF(AND($Q3=1,$R3=2,$V3=1),2,1)</f>
        <v>1</v>
      </c>
    </row>
    <row r="4" spans="1:44">
      <c r="A4" s="4">
        <v>0</v>
      </c>
      <c r="B4" s="4">
        <f>transform!A30</f>
        <v>4</v>
      </c>
      <c r="C4" s="4">
        <f>transform!B30</f>
        <v>1</v>
      </c>
      <c r="D4" s="4">
        <f>transform!C30</f>
        <v>7</v>
      </c>
      <c r="E4" s="7">
        <f>transform!D30</f>
        <v>40876</v>
      </c>
      <c r="F4" s="8">
        <f>transform!E30</f>
        <v>2</v>
      </c>
      <c r="G4" s="4">
        <f>transform!F30</f>
        <v>1993</v>
      </c>
      <c r="H4" s="8">
        <f>transform!G30</f>
        <v>1</v>
      </c>
      <c r="I4" s="8">
        <f>transform!H30</f>
        <v>1</v>
      </c>
      <c r="J4" s="4">
        <f>COUNTIF(Raw!AR30:CA30,1)/(COUNTIF(Raw!AR30:CA30,1)+COUNTIF(Raw!AR30:CA30,0))</f>
        <v>1</v>
      </c>
      <c r="K4" s="4">
        <f>transform!CC30</f>
        <v>2</v>
      </c>
      <c r="L4" s="4">
        <f>transform!CD30</f>
        <v>2</v>
      </c>
      <c r="M4" s="4">
        <f>transform!CE30</f>
        <v>2</v>
      </c>
      <c r="N4" s="4">
        <f>transform!CF30</f>
        <v>2</v>
      </c>
      <c r="O4" s="4">
        <f>transform!CG30</f>
        <v>2</v>
      </c>
      <c r="P4" s="4">
        <f>transform!CH30</f>
        <v>2</v>
      </c>
      <c r="Q4" s="4">
        <f>transform!CI30</f>
        <v>1</v>
      </c>
      <c r="R4" s="4">
        <f>transform!CJ30</f>
        <v>2</v>
      </c>
      <c r="S4" s="4">
        <f t="shared" si="3"/>
        <v>0</v>
      </c>
      <c r="T4" s="4">
        <f t="shared" si="4"/>
        <v>1</v>
      </c>
      <c r="U4" s="4">
        <f t="shared" si="0"/>
        <v>3</v>
      </c>
      <c r="V4" s="4">
        <f>transform!CK30</f>
        <v>2</v>
      </c>
      <c r="W4" s="4">
        <f>transform!CL30</f>
        <v>0</v>
      </c>
      <c r="X4" s="4">
        <f>transform!CM30</f>
        <v>2</v>
      </c>
      <c r="Y4" s="4">
        <f t="shared" si="5"/>
        <v>0</v>
      </c>
      <c r="Z4" s="4">
        <f t="shared" si="6"/>
        <v>0</v>
      </c>
      <c r="AA4" s="4">
        <f t="shared" si="1"/>
        <v>1</v>
      </c>
      <c r="AB4" s="4">
        <f>transform!CN30</f>
        <v>2</v>
      </c>
      <c r="AC4" s="4">
        <f>transform!CO30</f>
        <v>0</v>
      </c>
      <c r="AD4" s="4">
        <f>transform!CP30</f>
        <v>2</v>
      </c>
      <c r="AE4" s="4">
        <f t="shared" si="7"/>
        <v>0</v>
      </c>
      <c r="AF4" s="4">
        <f t="shared" si="8"/>
        <v>0</v>
      </c>
      <c r="AG4" s="4">
        <f t="shared" si="2"/>
        <v>1</v>
      </c>
      <c r="AH4" s="4">
        <f>transform!CQ30</f>
        <v>2</v>
      </c>
      <c r="AI4" s="4">
        <f t="shared" si="9"/>
        <v>1</v>
      </c>
      <c r="AJ4" s="4">
        <f t="shared" si="10"/>
        <v>2</v>
      </c>
      <c r="AK4" s="4">
        <f t="shared" si="11"/>
        <v>1</v>
      </c>
      <c r="AL4" s="4">
        <f t="shared" si="12"/>
        <v>1</v>
      </c>
      <c r="AM4" s="4">
        <f t="shared" si="13"/>
        <v>1</v>
      </c>
      <c r="AN4" s="4">
        <f t="shared" si="14"/>
        <v>1</v>
      </c>
      <c r="AO4" s="4">
        <f t="shared" si="15"/>
        <v>1</v>
      </c>
      <c r="AP4" s="4">
        <f t="shared" si="16"/>
        <v>2</v>
      </c>
      <c r="AQ4" s="4">
        <f t="shared" si="17"/>
        <v>1</v>
      </c>
      <c r="AR4" s="4">
        <f t="shared" si="18"/>
        <v>1</v>
      </c>
    </row>
    <row r="5" spans="1:44">
      <c r="A5" s="4">
        <v>0</v>
      </c>
      <c r="B5" s="4">
        <f>transform!A57</f>
        <v>3</v>
      </c>
      <c r="C5" s="4">
        <f>transform!B57</f>
        <v>2</v>
      </c>
      <c r="D5" s="4">
        <f>transform!C57</f>
        <v>3</v>
      </c>
      <c r="E5" s="7">
        <f>transform!D57</f>
        <v>40876</v>
      </c>
      <c r="F5" s="4">
        <f>transform!E57</f>
        <v>1</v>
      </c>
      <c r="G5" s="4">
        <f>transform!F57</f>
        <v>1989</v>
      </c>
      <c r="H5" s="8">
        <f>transform!G57</f>
        <v>3</v>
      </c>
      <c r="I5" s="4">
        <f>transform!H57</f>
        <v>2</v>
      </c>
      <c r="J5" s="4">
        <f>COUNTIF(Raw!AR57:CA57,1)/(COUNTIF(Raw!AR57:CA57,1)+COUNTIF(Raw!AR57:CA57,0))</f>
        <v>1</v>
      </c>
      <c r="K5" s="4">
        <f>transform!CC57</f>
        <v>2</v>
      </c>
      <c r="L5" s="4">
        <f>transform!CD57</f>
        <v>2</v>
      </c>
      <c r="M5" s="4">
        <f>transform!CE57</f>
        <v>2</v>
      </c>
      <c r="N5" s="4">
        <f>transform!CF57</f>
        <v>2</v>
      </c>
      <c r="O5" s="4">
        <f>transform!CG57</f>
        <v>2</v>
      </c>
      <c r="P5" s="4">
        <f>transform!CH57</f>
        <v>2</v>
      </c>
      <c r="Q5" s="4">
        <f>transform!CI57</f>
        <v>0</v>
      </c>
      <c r="R5" s="4">
        <f>transform!CJ57</f>
        <v>2</v>
      </c>
      <c r="S5" s="4">
        <f t="shared" si="3"/>
        <v>0</v>
      </c>
      <c r="T5" s="4">
        <f t="shared" si="4"/>
        <v>0</v>
      </c>
      <c r="U5" s="4">
        <f t="shared" si="0"/>
        <v>1</v>
      </c>
      <c r="V5" s="4">
        <f>transform!CK57</f>
        <v>2</v>
      </c>
      <c r="W5" s="4">
        <f>transform!CL57</f>
        <v>0</v>
      </c>
      <c r="X5" s="4">
        <f>transform!CM57</f>
        <v>2</v>
      </c>
      <c r="Y5" s="4">
        <f t="shared" si="5"/>
        <v>0</v>
      </c>
      <c r="Z5" s="4">
        <f t="shared" si="6"/>
        <v>0</v>
      </c>
      <c r="AA5" s="4">
        <f t="shared" si="1"/>
        <v>1</v>
      </c>
      <c r="AB5" s="4">
        <f>transform!CN57</f>
        <v>2</v>
      </c>
      <c r="AC5" s="4">
        <f>transform!CO57</f>
        <v>0</v>
      </c>
      <c r="AD5" s="4">
        <f>transform!CP57</f>
        <v>2</v>
      </c>
      <c r="AE5" s="4">
        <f t="shared" si="7"/>
        <v>0</v>
      </c>
      <c r="AF5" s="4">
        <f t="shared" si="8"/>
        <v>0</v>
      </c>
      <c r="AG5" s="4">
        <f t="shared" si="2"/>
        <v>1</v>
      </c>
      <c r="AH5" s="4">
        <f>transform!CQ57</f>
        <v>2</v>
      </c>
      <c r="AI5" s="4">
        <f t="shared" si="9"/>
        <v>1</v>
      </c>
      <c r="AJ5" s="4">
        <f t="shared" si="10"/>
        <v>2</v>
      </c>
      <c r="AK5" s="4">
        <f t="shared" si="11"/>
        <v>1</v>
      </c>
      <c r="AL5" s="4">
        <f t="shared" si="12"/>
        <v>1</v>
      </c>
      <c r="AM5" s="4">
        <f t="shared" si="13"/>
        <v>1</v>
      </c>
      <c r="AN5" s="4">
        <f t="shared" si="14"/>
        <v>2</v>
      </c>
      <c r="AO5" s="4">
        <f t="shared" si="15"/>
        <v>1</v>
      </c>
      <c r="AP5" s="4">
        <f t="shared" si="16"/>
        <v>1</v>
      </c>
      <c r="AQ5" s="4">
        <f t="shared" si="17"/>
        <v>1</v>
      </c>
      <c r="AR5" s="4">
        <f t="shared" si="18"/>
        <v>1</v>
      </c>
    </row>
    <row r="6" spans="1:44">
      <c r="A6" s="4">
        <v>0</v>
      </c>
      <c r="B6" s="4">
        <f>transform!A61</f>
        <v>3</v>
      </c>
      <c r="C6" s="4">
        <f>transform!B61</f>
        <v>2</v>
      </c>
      <c r="D6" s="4">
        <f>transform!C61</f>
        <v>7</v>
      </c>
      <c r="E6" s="7">
        <f>transform!D61</f>
        <v>40876</v>
      </c>
      <c r="F6" s="4">
        <f>transform!E61</f>
        <v>1</v>
      </c>
      <c r="G6" s="4">
        <f>transform!F61</f>
        <v>1992</v>
      </c>
      <c r="H6" s="8">
        <f>transform!G61</f>
        <v>4</v>
      </c>
      <c r="I6" s="8">
        <f>transform!H61</f>
        <v>1</v>
      </c>
      <c r="J6" s="4">
        <f>COUNTIF(Raw!AR61:CA61,1)/(COUNTIF(Raw!AR61:CA61,1)+COUNTIF(Raw!AR61:CA61,0))</f>
        <v>1</v>
      </c>
      <c r="K6" s="4">
        <f>transform!CC61</f>
        <v>2</v>
      </c>
      <c r="L6" s="4">
        <f>transform!CD61</f>
        <v>1</v>
      </c>
      <c r="M6" s="4">
        <f>transform!CE61</f>
        <v>1</v>
      </c>
      <c r="N6" s="4">
        <f>transform!CF61</f>
        <v>2</v>
      </c>
      <c r="O6" s="4">
        <f>transform!CG61</f>
        <v>1</v>
      </c>
      <c r="P6" s="4">
        <f>transform!CH61</f>
        <v>2</v>
      </c>
      <c r="Q6" s="4">
        <f>transform!CI61</f>
        <v>1</v>
      </c>
      <c r="R6" s="4">
        <f>transform!CJ61</f>
        <v>1</v>
      </c>
      <c r="S6" s="4">
        <f t="shared" si="3"/>
        <v>1</v>
      </c>
      <c r="T6" s="4">
        <f t="shared" si="4"/>
        <v>0</v>
      </c>
      <c r="U6" s="4">
        <f t="shared" si="0"/>
        <v>2</v>
      </c>
      <c r="V6" s="4">
        <f>transform!CK61</f>
        <v>2</v>
      </c>
      <c r="W6" s="4">
        <f>transform!CL61</f>
        <v>1</v>
      </c>
      <c r="X6" s="4">
        <f>transform!CM61</f>
        <v>1</v>
      </c>
      <c r="Y6" s="4">
        <f t="shared" si="5"/>
        <v>1</v>
      </c>
      <c r="Z6" s="4">
        <f t="shared" si="6"/>
        <v>0</v>
      </c>
      <c r="AA6" s="4">
        <f t="shared" si="1"/>
        <v>2</v>
      </c>
      <c r="AB6" s="4">
        <f>transform!CN61</f>
        <v>2</v>
      </c>
      <c r="AC6" s="4">
        <f>transform!CO61</f>
        <v>1</v>
      </c>
      <c r="AD6" s="4">
        <f>transform!CP61</f>
        <v>1</v>
      </c>
      <c r="AE6" s="4">
        <f t="shared" si="7"/>
        <v>1</v>
      </c>
      <c r="AF6" s="4">
        <f t="shared" si="8"/>
        <v>0</v>
      </c>
      <c r="AG6" s="4">
        <f t="shared" si="2"/>
        <v>2</v>
      </c>
      <c r="AH6" s="4">
        <f>transform!CQ61</f>
        <v>2</v>
      </c>
      <c r="AI6" s="4">
        <f t="shared" si="9"/>
        <v>1</v>
      </c>
      <c r="AJ6" s="4">
        <f t="shared" si="10"/>
        <v>1</v>
      </c>
      <c r="AK6" s="4">
        <f t="shared" si="11"/>
        <v>1</v>
      </c>
      <c r="AL6" s="4">
        <f t="shared" si="12"/>
        <v>2</v>
      </c>
      <c r="AM6" s="4">
        <f t="shared" si="13"/>
        <v>1</v>
      </c>
      <c r="AN6" s="4">
        <f t="shared" si="14"/>
        <v>1</v>
      </c>
      <c r="AO6" s="4">
        <f t="shared" si="15"/>
        <v>1</v>
      </c>
      <c r="AP6" s="4">
        <f t="shared" si="16"/>
        <v>1</v>
      </c>
      <c r="AQ6" s="4">
        <f t="shared" si="17"/>
        <v>2</v>
      </c>
      <c r="AR6" s="4">
        <f t="shared" si="18"/>
        <v>1</v>
      </c>
    </row>
    <row r="7" spans="1:44">
      <c r="A7" s="4">
        <v>0</v>
      </c>
      <c r="B7" s="4">
        <f>transform!A16</f>
        <v>2</v>
      </c>
      <c r="C7" s="4">
        <f>transform!B16</f>
        <v>1</v>
      </c>
      <c r="D7" s="4">
        <f>transform!C16</f>
        <v>8</v>
      </c>
      <c r="E7" s="7">
        <f>transform!D16</f>
        <v>40876</v>
      </c>
      <c r="F7" s="4">
        <f>transform!E16</f>
        <v>1</v>
      </c>
      <c r="G7" s="4">
        <f>transform!F16</f>
        <v>1986</v>
      </c>
      <c r="H7" s="8">
        <f>transform!G16</f>
        <v>6</v>
      </c>
      <c r="I7" s="8">
        <f>transform!H16</f>
        <v>1</v>
      </c>
      <c r="J7" s="4">
        <f>COUNTIF(Raw!AR16:CA16,1)/(COUNTIF(Raw!AR16:CA16,1)+COUNTIF(Raw!AR16:CA16,0))</f>
        <v>0.80952380952381</v>
      </c>
      <c r="K7" s="4">
        <f>transform!CC16</f>
        <v>2</v>
      </c>
      <c r="L7" s="4">
        <f>transform!CD16</f>
        <v>1</v>
      </c>
      <c r="M7" s="4">
        <f>transform!CE16</f>
        <v>2</v>
      </c>
      <c r="N7" s="4">
        <f>transform!CF16</f>
        <v>1</v>
      </c>
      <c r="O7" s="4">
        <f>transform!CG16</f>
        <v>2</v>
      </c>
      <c r="P7" s="4">
        <f>transform!CH16</f>
        <v>1</v>
      </c>
      <c r="Q7" s="4">
        <f>transform!CI16</f>
        <v>0</v>
      </c>
      <c r="R7" s="4">
        <f>transform!CJ16</f>
        <v>2</v>
      </c>
      <c r="S7" s="4">
        <f t="shared" si="3"/>
        <v>0</v>
      </c>
      <c r="T7" s="4">
        <f t="shared" si="4"/>
        <v>0</v>
      </c>
      <c r="U7" s="4">
        <f t="shared" si="0"/>
        <v>1</v>
      </c>
      <c r="V7" s="4">
        <f>transform!CK16</f>
        <v>1</v>
      </c>
      <c r="W7" s="4">
        <f>transform!CL16</f>
        <v>0</v>
      </c>
      <c r="X7" s="4">
        <f>transform!CM16</f>
        <v>2</v>
      </c>
      <c r="Y7" s="4">
        <f t="shared" si="5"/>
        <v>0</v>
      </c>
      <c r="Z7" s="4">
        <f t="shared" si="6"/>
        <v>0</v>
      </c>
      <c r="AA7" s="4">
        <f t="shared" si="1"/>
        <v>1</v>
      </c>
      <c r="AB7" s="4">
        <f>transform!CN16</f>
        <v>1</v>
      </c>
      <c r="AC7" s="4">
        <f>transform!CO16</f>
        <v>0</v>
      </c>
      <c r="AD7" s="4">
        <f>transform!CP16</f>
        <v>2</v>
      </c>
      <c r="AE7" s="4">
        <f t="shared" si="7"/>
        <v>0</v>
      </c>
      <c r="AF7" s="4">
        <f t="shared" si="8"/>
        <v>0</v>
      </c>
      <c r="AG7" s="4">
        <f t="shared" si="2"/>
        <v>1</v>
      </c>
      <c r="AH7" s="4">
        <f>transform!CQ16</f>
        <v>1</v>
      </c>
      <c r="AI7" s="4">
        <f t="shared" si="9"/>
        <v>1</v>
      </c>
      <c r="AJ7" s="4">
        <f t="shared" si="10"/>
        <v>1</v>
      </c>
      <c r="AK7" s="4">
        <f t="shared" si="11"/>
        <v>1</v>
      </c>
      <c r="AL7" s="4">
        <f t="shared" si="12"/>
        <v>2</v>
      </c>
      <c r="AM7" s="4">
        <f t="shared" si="13"/>
        <v>2</v>
      </c>
      <c r="AN7" s="4">
        <f t="shared" si="14"/>
        <v>1</v>
      </c>
      <c r="AO7" s="4">
        <f t="shared" si="15"/>
        <v>1</v>
      </c>
      <c r="AP7" s="4">
        <f t="shared" si="16"/>
        <v>1</v>
      </c>
      <c r="AQ7" s="4">
        <f t="shared" si="17"/>
        <v>1</v>
      </c>
      <c r="AR7" s="4">
        <f t="shared" si="18"/>
        <v>1</v>
      </c>
    </row>
    <row r="8" spans="1:44">
      <c r="A8" s="4">
        <v>0</v>
      </c>
      <c r="B8" s="4">
        <f>transform!A23</f>
        <v>3</v>
      </c>
      <c r="C8" s="4">
        <f>transform!B23</f>
        <v>1</v>
      </c>
      <c r="D8" s="4">
        <f>transform!C23</f>
        <v>7</v>
      </c>
      <c r="E8" s="7">
        <f>transform!D23</f>
        <v>40876</v>
      </c>
      <c r="F8" s="8">
        <f>transform!E23</f>
        <v>2</v>
      </c>
      <c r="G8" s="4">
        <f>transform!F23</f>
        <v>1988</v>
      </c>
      <c r="H8" s="8">
        <f>transform!G23</f>
        <v>3</v>
      </c>
      <c r="I8" s="8">
        <f>transform!H23</f>
        <v>1</v>
      </c>
      <c r="J8" s="4">
        <f>COUNTIF(Raw!AR23:CA23,1)/(COUNTIF(Raw!AR23:CA23,1)+COUNTIF(Raw!AR23:CA23,0))</f>
        <v>0.80952380952381</v>
      </c>
      <c r="K8" s="4">
        <f>transform!CC23</f>
        <v>2</v>
      </c>
      <c r="L8" s="4">
        <f>transform!CD23</f>
        <v>1</v>
      </c>
      <c r="M8" s="4">
        <f>transform!CE23</f>
        <v>2</v>
      </c>
      <c r="N8" s="4">
        <f>transform!CF23</f>
        <v>1</v>
      </c>
      <c r="O8" s="4">
        <f>transform!CG23</f>
        <v>2</v>
      </c>
      <c r="P8" s="4">
        <f>transform!CH23</f>
        <v>1</v>
      </c>
      <c r="Q8" s="4">
        <f>transform!CI23</f>
        <v>1</v>
      </c>
      <c r="R8" s="4">
        <f>transform!CJ23</f>
        <v>2</v>
      </c>
      <c r="S8" s="4">
        <f t="shared" si="3"/>
        <v>0</v>
      </c>
      <c r="T8" s="4">
        <f t="shared" si="4"/>
        <v>1</v>
      </c>
      <c r="U8" s="4">
        <f t="shared" si="0"/>
        <v>3</v>
      </c>
      <c r="V8" s="4">
        <f>transform!CK23</f>
        <v>2</v>
      </c>
      <c r="W8" s="4">
        <f>transform!CL23</f>
        <v>0</v>
      </c>
      <c r="X8" s="4">
        <f>transform!CM23</f>
        <v>2</v>
      </c>
      <c r="Y8" s="4">
        <f t="shared" si="5"/>
        <v>0</v>
      </c>
      <c r="Z8" s="4">
        <f t="shared" si="6"/>
        <v>0</v>
      </c>
      <c r="AA8" s="4">
        <f t="shared" si="1"/>
        <v>1</v>
      </c>
      <c r="AB8" s="4">
        <f>transform!CN23</f>
        <v>1</v>
      </c>
      <c r="AC8" s="4">
        <f>transform!CO23</f>
        <v>0</v>
      </c>
      <c r="AD8" s="4">
        <f>transform!CP23</f>
        <v>2</v>
      </c>
      <c r="AE8" s="4">
        <f t="shared" si="7"/>
        <v>0</v>
      </c>
      <c r="AF8" s="4">
        <f t="shared" si="8"/>
        <v>0</v>
      </c>
      <c r="AG8" s="4">
        <f t="shared" si="2"/>
        <v>1</v>
      </c>
      <c r="AH8" s="4">
        <f>transform!CQ23</f>
        <v>1</v>
      </c>
      <c r="AI8" s="4">
        <f t="shared" si="9"/>
        <v>1</v>
      </c>
      <c r="AJ8" s="4">
        <f t="shared" si="10"/>
        <v>1</v>
      </c>
      <c r="AK8" s="4">
        <f t="shared" si="11"/>
        <v>1</v>
      </c>
      <c r="AL8" s="4">
        <f t="shared" si="12"/>
        <v>2</v>
      </c>
      <c r="AM8" s="4">
        <f t="shared" si="13"/>
        <v>1</v>
      </c>
      <c r="AN8" s="4">
        <f t="shared" si="14"/>
        <v>1</v>
      </c>
      <c r="AO8" s="4">
        <f t="shared" si="15"/>
        <v>1</v>
      </c>
      <c r="AP8" s="4">
        <f t="shared" si="16"/>
        <v>2</v>
      </c>
      <c r="AQ8" s="4">
        <f t="shared" si="17"/>
        <v>1</v>
      </c>
      <c r="AR8" s="4">
        <f t="shared" si="18"/>
        <v>1</v>
      </c>
    </row>
    <row r="9" spans="1:44">
      <c r="A9" s="4">
        <v>0</v>
      </c>
      <c r="B9" s="4">
        <f>transform!A25</f>
        <v>4</v>
      </c>
      <c r="C9" s="4">
        <f>transform!B25</f>
        <v>1</v>
      </c>
      <c r="D9" s="4">
        <f>transform!C25</f>
        <v>2</v>
      </c>
      <c r="E9" s="7">
        <f>transform!D25</f>
        <v>40876</v>
      </c>
      <c r="F9" s="8">
        <f>transform!E25</f>
        <v>2</v>
      </c>
      <c r="G9" s="4">
        <f>transform!F25</f>
        <v>1987</v>
      </c>
      <c r="H9" s="8">
        <f>transform!G25</f>
        <v>5</v>
      </c>
      <c r="I9" s="8">
        <f>transform!H25</f>
        <v>1</v>
      </c>
      <c r="J9" s="4">
        <f>COUNTIF(Raw!AR25:CA25,1)/(COUNTIF(Raw!AR25:CA25,1)+COUNTIF(Raw!AR25:CA25,0))</f>
        <v>0.80952380952381</v>
      </c>
      <c r="K9" s="4">
        <f>transform!CC25</f>
        <v>2</v>
      </c>
      <c r="L9" s="4">
        <f>transform!CD25</f>
        <v>2</v>
      </c>
      <c r="M9" s="4">
        <f>transform!CE25</f>
        <v>2</v>
      </c>
      <c r="N9" s="4">
        <f>transform!CF25</f>
        <v>2</v>
      </c>
      <c r="O9" s="4">
        <f>transform!CG25</f>
        <v>2</v>
      </c>
      <c r="P9" s="4">
        <f>transform!CH25</f>
        <v>2</v>
      </c>
      <c r="Q9" s="4">
        <f>transform!CI25</f>
        <v>0</v>
      </c>
      <c r="R9" s="4">
        <f>transform!CJ25</f>
        <v>2</v>
      </c>
      <c r="S9" s="4">
        <f t="shared" si="3"/>
        <v>0</v>
      </c>
      <c r="T9" s="4">
        <f t="shared" si="4"/>
        <v>0</v>
      </c>
      <c r="U9" s="4">
        <f t="shared" si="0"/>
        <v>1</v>
      </c>
      <c r="V9" s="4">
        <f>transform!CK25</f>
        <v>2</v>
      </c>
      <c r="W9" s="4">
        <f>transform!CL25</f>
        <v>0</v>
      </c>
      <c r="X9" s="4">
        <f>transform!CM25</f>
        <v>2</v>
      </c>
      <c r="Y9" s="4">
        <f t="shared" si="5"/>
        <v>0</v>
      </c>
      <c r="Z9" s="4">
        <f t="shared" si="6"/>
        <v>0</v>
      </c>
      <c r="AA9" s="4">
        <f t="shared" si="1"/>
        <v>1</v>
      </c>
      <c r="AB9" s="4">
        <f>transform!CN25</f>
        <v>2</v>
      </c>
      <c r="AC9" s="4">
        <f>transform!CO25</f>
        <v>0</v>
      </c>
      <c r="AD9" s="4">
        <f>transform!CP25</f>
        <v>2</v>
      </c>
      <c r="AE9" s="4">
        <f t="shared" si="7"/>
        <v>0</v>
      </c>
      <c r="AF9" s="4">
        <f t="shared" si="8"/>
        <v>0</v>
      </c>
      <c r="AG9" s="4">
        <f t="shared" si="2"/>
        <v>1</v>
      </c>
      <c r="AH9" s="4">
        <f>transform!CQ25</f>
        <v>2</v>
      </c>
      <c r="AI9" s="4">
        <f t="shared" si="9"/>
        <v>1</v>
      </c>
      <c r="AJ9" s="4">
        <f t="shared" si="10"/>
        <v>2</v>
      </c>
      <c r="AK9" s="4">
        <f t="shared" si="11"/>
        <v>1</v>
      </c>
      <c r="AL9" s="4">
        <f t="shared" si="12"/>
        <v>1</v>
      </c>
      <c r="AM9" s="4">
        <f t="shared" si="13"/>
        <v>1</v>
      </c>
      <c r="AN9" s="4">
        <f t="shared" si="14"/>
        <v>2</v>
      </c>
      <c r="AO9" s="4">
        <f t="shared" si="15"/>
        <v>1</v>
      </c>
      <c r="AP9" s="4">
        <f t="shared" si="16"/>
        <v>1</v>
      </c>
      <c r="AQ9" s="4">
        <f t="shared" si="17"/>
        <v>1</v>
      </c>
      <c r="AR9" s="4">
        <f t="shared" si="18"/>
        <v>1</v>
      </c>
    </row>
    <row r="10" spans="1:44">
      <c r="A10" s="4">
        <v>0</v>
      </c>
      <c r="B10" s="4">
        <f>transform!A7</f>
        <v>1</v>
      </c>
      <c r="C10" s="4">
        <f>transform!B7</f>
        <v>1</v>
      </c>
      <c r="D10" s="4">
        <f>transform!C7</f>
        <v>6</v>
      </c>
      <c r="E10" s="7">
        <f>transform!D7</f>
        <v>40876</v>
      </c>
      <c r="F10" s="4">
        <f>transform!E7</f>
        <v>1</v>
      </c>
      <c r="G10" s="4">
        <f>transform!F7</f>
        <v>1984</v>
      </c>
      <c r="H10" s="8">
        <f>transform!G7</f>
        <v>5</v>
      </c>
      <c r="I10" s="8">
        <f>transform!H7</f>
        <v>1</v>
      </c>
      <c r="J10" s="4">
        <f>COUNTIF(Raw!AR7:CA7,1)/(COUNTIF(Raw!AR7:CA7,1)+COUNTIF(Raw!AR7:CA7,0))</f>
        <v>0.727272727272727</v>
      </c>
      <c r="K10" s="4">
        <f>transform!CC7</f>
        <v>2</v>
      </c>
      <c r="L10" s="4">
        <f>transform!CD7</f>
        <v>2</v>
      </c>
      <c r="M10" s="4">
        <f>transform!CE7</f>
        <v>1</v>
      </c>
      <c r="N10" s="4">
        <f>transform!CF7</f>
        <v>2</v>
      </c>
      <c r="O10" s="4">
        <f>transform!CG7</f>
        <v>1</v>
      </c>
      <c r="P10" s="4">
        <f>transform!CH7</f>
        <v>2</v>
      </c>
      <c r="Q10" s="4">
        <f>transform!CI7</f>
        <v>0</v>
      </c>
      <c r="R10" s="4">
        <f>transform!CJ7</f>
        <v>1</v>
      </c>
      <c r="S10" s="4">
        <f t="shared" si="3"/>
        <v>0</v>
      </c>
      <c r="T10" s="4">
        <f t="shared" si="4"/>
        <v>0</v>
      </c>
      <c r="U10" s="4">
        <f t="shared" si="0"/>
        <v>1</v>
      </c>
      <c r="V10" s="4">
        <f>transform!CK7</f>
        <v>2</v>
      </c>
      <c r="W10" s="4">
        <f>transform!CL7</f>
        <v>1</v>
      </c>
      <c r="X10" s="4">
        <f>transform!CM7</f>
        <v>1</v>
      </c>
      <c r="Y10" s="4">
        <f t="shared" si="5"/>
        <v>1</v>
      </c>
      <c r="Z10" s="4">
        <f t="shared" si="6"/>
        <v>0</v>
      </c>
      <c r="AA10" s="4">
        <f t="shared" si="1"/>
        <v>2</v>
      </c>
      <c r="AB10" s="4">
        <f>transform!CN7</f>
        <v>2</v>
      </c>
      <c r="AC10" s="4">
        <f>transform!CO7</f>
        <v>0</v>
      </c>
      <c r="AD10" s="4">
        <f>transform!CP7</f>
        <v>1</v>
      </c>
      <c r="AE10" s="4">
        <f t="shared" si="7"/>
        <v>0</v>
      </c>
      <c r="AF10" s="4">
        <f t="shared" si="8"/>
        <v>0</v>
      </c>
      <c r="AG10" s="4">
        <f t="shared" si="2"/>
        <v>1</v>
      </c>
      <c r="AH10" s="4">
        <f>transform!CQ7</f>
        <v>2</v>
      </c>
      <c r="AI10" s="4">
        <f t="shared" si="9"/>
        <v>1</v>
      </c>
      <c r="AJ10" s="4">
        <f t="shared" si="10"/>
        <v>2</v>
      </c>
      <c r="AK10" s="4">
        <f t="shared" si="11"/>
        <v>1</v>
      </c>
      <c r="AL10" s="4">
        <f t="shared" si="12"/>
        <v>1</v>
      </c>
      <c r="AM10" s="4">
        <f t="shared" si="13"/>
        <v>1</v>
      </c>
      <c r="AN10" s="4">
        <f t="shared" si="14"/>
        <v>2</v>
      </c>
      <c r="AO10" s="4">
        <f t="shared" si="15"/>
        <v>1</v>
      </c>
      <c r="AP10" s="4">
        <f t="shared" si="16"/>
        <v>1</v>
      </c>
      <c r="AQ10" s="4">
        <f t="shared" si="17"/>
        <v>1</v>
      </c>
      <c r="AR10" s="4">
        <f t="shared" si="18"/>
        <v>1</v>
      </c>
    </row>
    <row r="11" spans="1:44">
      <c r="A11" s="4">
        <v>0</v>
      </c>
      <c r="B11" s="4">
        <f>transform!A6</f>
        <v>1</v>
      </c>
      <c r="C11" s="4">
        <f>transform!B6</f>
        <v>1</v>
      </c>
      <c r="D11" s="4">
        <f>transform!C6</f>
        <v>5</v>
      </c>
      <c r="E11" s="7">
        <f>transform!D6</f>
        <v>40876</v>
      </c>
      <c r="F11" s="4">
        <f>transform!E6</f>
        <v>1</v>
      </c>
      <c r="G11" s="4">
        <f>transform!F6</f>
        <v>1989</v>
      </c>
      <c r="H11" s="8">
        <f>transform!G6</f>
        <v>3</v>
      </c>
      <c r="I11" s="8">
        <f>transform!H6</f>
        <v>1</v>
      </c>
      <c r="J11" s="4">
        <f>COUNTIF(Raw!AR6:CA6,1)/(COUNTIF(Raw!AR6:CA6,1)+COUNTIF(Raw!AR6:CA6,0))</f>
        <v>0.666666666666667</v>
      </c>
      <c r="K11" s="4">
        <f>transform!CC6</f>
        <v>2</v>
      </c>
      <c r="L11" s="4">
        <f>transform!CD6</f>
        <v>2</v>
      </c>
      <c r="M11" s="4">
        <f>transform!CE6</f>
        <v>2</v>
      </c>
      <c r="N11" s="4">
        <f>transform!CF6</f>
        <v>2</v>
      </c>
      <c r="O11" s="4">
        <f>transform!CG6</f>
        <v>2</v>
      </c>
      <c r="P11" s="4">
        <f>transform!CH6</f>
        <v>2</v>
      </c>
      <c r="Q11" s="4">
        <f>transform!CI6</f>
        <v>1</v>
      </c>
      <c r="R11" s="4">
        <f>transform!CJ6</f>
        <v>2</v>
      </c>
      <c r="S11" s="4">
        <f t="shared" si="3"/>
        <v>0</v>
      </c>
      <c r="T11" s="4">
        <f t="shared" si="4"/>
        <v>1</v>
      </c>
      <c r="U11" s="4">
        <f t="shared" si="0"/>
        <v>3</v>
      </c>
      <c r="V11" s="4">
        <f>transform!CK6</f>
        <v>2</v>
      </c>
      <c r="W11" s="4">
        <f>transform!CL6</f>
        <v>1</v>
      </c>
      <c r="X11" s="4">
        <f>transform!CM6</f>
        <v>2</v>
      </c>
      <c r="Y11" s="4">
        <f t="shared" si="5"/>
        <v>0</v>
      </c>
      <c r="Z11" s="4">
        <f t="shared" si="6"/>
        <v>1</v>
      </c>
      <c r="AA11" s="4">
        <f t="shared" si="1"/>
        <v>3</v>
      </c>
      <c r="AB11" s="4">
        <f>transform!CN6</f>
        <v>2</v>
      </c>
      <c r="AC11" s="4">
        <f>transform!CO6</f>
        <v>1</v>
      </c>
      <c r="AD11" s="4">
        <f>transform!CP6</f>
        <v>2</v>
      </c>
      <c r="AE11" s="4">
        <f t="shared" si="7"/>
        <v>0</v>
      </c>
      <c r="AF11" s="4">
        <f t="shared" si="8"/>
        <v>1</v>
      </c>
      <c r="AG11" s="4">
        <f t="shared" si="2"/>
        <v>3</v>
      </c>
      <c r="AH11" s="4">
        <f>transform!CQ6</f>
        <v>2</v>
      </c>
      <c r="AI11" s="4">
        <f t="shared" si="9"/>
        <v>1</v>
      </c>
      <c r="AJ11" s="4">
        <f t="shared" si="10"/>
        <v>2</v>
      </c>
      <c r="AK11" s="4">
        <f t="shared" si="11"/>
        <v>1</v>
      </c>
      <c r="AL11" s="4">
        <f t="shared" si="12"/>
        <v>1</v>
      </c>
      <c r="AM11" s="4">
        <f t="shared" si="13"/>
        <v>1</v>
      </c>
      <c r="AN11" s="4">
        <f t="shared" si="14"/>
        <v>1</v>
      </c>
      <c r="AO11" s="4">
        <f t="shared" si="15"/>
        <v>1</v>
      </c>
      <c r="AP11" s="4">
        <f t="shared" si="16"/>
        <v>2</v>
      </c>
      <c r="AQ11" s="4">
        <f t="shared" si="17"/>
        <v>1</v>
      </c>
      <c r="AR11" s="4">
        <f t="shared" si="18"/>
        <v>1</v>
      </c>
    </row>
    <row r="12" spans="1:44">
      <c r="A12" s="4">
        <v>0</v>
      </c>
      <c r="B12" s="4">
        <f>transform!A10</f>
        <v>2</v>
      </c>
      <c r="C12" s="4">
        <f>transform!B10</f>
        <v>1</v>
      </c>
      <c r="D12" s="4">
        <f>transform!C10</f>
        <v>1</v>
      </c>
      <c r="E12" s="7">
        <f>transform!D10</f>
        <v>40876</v>
      </c>
      <c r="F12" s="4">
        <f>transform!E10</f>
        <v>1</v>
      </c>
      <c r="G12" s="4">
        <f>transform!F10</f>
        <v>1989</v>
      </c>
      <c r="H12" s="8">
        <f>transform!G10</f>
        <v>1</v>
      </c>
      <c r="I12" s="8">
        <f>transform!H10</f>
        <v>1</v>
      </c>
      <c r="J12" s="4">
        <f>COUNTIF(Raw!AR10:CA10,1)/(COUNTIF(Raw!AR10:CA10,1)+COUNTIF(Raw!AR10:CA10,0))</f>
        <v>0.666666666666667</v>
      </c>
      <c r="K12" s="4">
        <f>transform!CC10</f>
        <v>1</v>
      </c>
      <c r="L12" s="4">
        <f>transform!CD10</f>
        <v>2</v>
      </c>
      <c r="M12" s="4">
        <f>transform!CE10</f>
        <v>1</v>
      </c>
      <c r="N12" s="4">
        <f>transform!CF10</f>
        <v>2</v>
      </c>
      <c r="O12" s="4">
        <f>transform!CG10</f>
        <v>1</v>
      </c>
      <c r="P12" s="4">
        <f>transform!CH10</f>
        <v>2</v>
      </c>
      <c r="Q12" s="4">
        <f>transform!CI10</f>
        <v>1</v>
      </c>
      <c r="R12" s="4">
        <f>transform!CJ10</f>
        <v>1</v>
      </c>
      <c r="S12" s="4">
        <f t="shared" si="3"/>
        <v>1</v>
      </c>
      <c r="T12" s="4">
        <f t="shared" si="4"/>
        <v>0</v>
      </c>
      <c r="U12" s="4">
        <f t="shared" si="0"/>
        <v>2</v>
      </c>
      <c r="V12" s="4">
        <f>transform!CK10</f>
        <v>2</v>
      </c>
      <c r="W12" s="4">
        <f>transform!CL10</f>
        <v>0</v>
      </c>
      <c r="X12" s="4">
        <f>transform!CM10</f>
        <v>1</v>
      </c>
      <c r="Y12" s="4">
        <f t="shared" si="5"/>
        <v>0</v>
      </c>
      <c r="Z12" s="4">
        <f t="shared" si="6"/>
        <v>0</v>
      </c>
      <c r="AA12" s="4">
        <f t="shared" si="1"/>
        <v>1</v>
      </c>
      <c r="AB12" s="4">
        <f>transform!CN10</f>
        <v>2</v>
      </c>
      <c r="AC12" s="4">
        <f>transform!CO10</f>
        <v>0</v>
      </c>
      <c r="AD12" s="4">
        <f>transform!CP10</f>
        <v>1</v>
      </c>
      <c r="AE12" s="4">
        <f t="shared" si="7"/>
        <v>0</v>
      </c>
      <c r="AF12" s="4">
        <f t="shared" si="8"/>
        <v>0</v>
      </c>
      <c r="AG12" s="4">
        <f t="shared" si="2"/>
        <v>1</v>
      </c>
      <c r="AH12" s="4">
        <f>transform!CQ10</f>
        <v>2</v>
      </c>
      <c r="AI12" s="4">
        <f t="shared" si="9"/>
        <v>1</v>
      </c>
      <c r="AJ12" s="4">
        <f t="shared" si="10"/>
        <v>1</v>
      </c>
      <c r="AK12" s="4">
        <f t="shared" si="11"/>
        <v>2</v>
      </c>
      <c r="AL12" s="4">
        <f t="shared" si="12"/>
        <v>1</v>
      </c>
      <c r="AM12" s="4">
        <f t="shared" si="13"/>
        <v>1</v>
      </c>
      <c r="AN12" s="4">
        <f t="shared" si="14"/>
        <v>1</v>
      </c>
      <c r="AO12" s="4">
        <f t="shared" si="15"/>
        <v>1</v>
      </c>
      <c r="AP12" s="4">
        <f t="shared" si="16"/>
        <v>1</v>
      </c>
      <c r="AQ12" s="4">
        <f t="shared" si="17"/>
        <v>2</v>
      </c>
      <c r="AR12" s="4">
        <f t="shared" si="18"/>
        <v>1</v>
      </c>
    </row>
    <row r="13" spans="1:44">
      <c r="A13" s="4">
        <v>0</v>
      </c>
      <c r="B13" s="4">
        <f>transform!A55</f>
        <v>3</v>
      </c>
      <c r="C13" s="4">
        <f>transform!B55</f>
        <v>2</v>
      </c>
      <c r="D13" s="4">
        <f>transform!C55</f>
        <v>1</v>
      </c>
      <c r="E13" s="7">
        <f>transform!D55</f>
        <v>40876</v>
      </c>
      <c r="F13" s="4">
        <f>transform!E55</f>
        <v>1</v>
      </c>
      <c r="G13" s="4">
        <f>transform!F55</f>
        <v>1988</v>
      </c>
      <c r="H13" s="8">
        <f>transform!G55</f>
        <v>5</v>
      </c>
      <c r="I13" s="8">
        <f>transform!H55</f>
        <v>1</v>
      </c>
      <c r="J13" s="4">
        <f>COUNTIF(Raw!AR55:CA55,1)/(COUNTIF(Raw!AR55:CA55,1)+COUNTIF(Raw!AR55:CA55,0))</f>
        <v>0.666666666666667</v>
      </c>
      <c r="K13" s="4">
        <f>transform!CC55</f>
        <v>1</v>
      </c>
      <c r="L13" s="4">
        <f>transform!CD55</f>
        <v>2</v>
      </c>
      <c r="M13" s="4">
        <f>transform!CE55</f>
        <v>1</v>
      </c>
      <c r="N13" s="4">
        <f>transform!CF55</f>
        <v>2</v>
      </c>
      <c r="O13" s="4">
        <f>transform!CG55</f>
        <v>1</v>
      </c>
      <c r="P13" s="4">
        <f>transform!CH55</f>
        <v>2</v>
      </c>
      <c r="Q13" s="4">
        <f>transform!CI55</f>
        <v>0</v>
      </c>
      <c r="R13" s="4">
        <f>transform!CJ55</f>
        <v>1</v>
      </c>
      <c r="S13" s="4">
        <f t="shared" si="3"/>
        <v>0</v>
      </c>
      <c r="T13" s="4">
        <f t="shared" si="4"/>
        <v>0</v>
      </c>
      <c r="U13" s="4">
        <f t="shared" si="0"/>
        <v>1</v>
      </c>
      <c r="V13" s="4">
        <f>transform!CK55</f>
        <v>2</v>
      </c>
      <c r="W13" s="4">
        <f>transform!CL55</f>
        <v>0</v>
      </c>
      <c r="X13" s="4">
        <f>transform!CM55</f>
        <v>1</v>
      </c>
      <c r="Y13" s="4">
        <f t="shared" si="5"/>
        <v>0</v>
      </c>
      <c r="Z13" s="4">
        <f t="shared" si="6"/>
        <v>0</v>
      </c>
      <c r="AA13" s="4">
        <f t="shared" si="1"/>
        <v>1</v>
      </c>
      <c r="AB13" s="4">
        <f>transform!CN55</f>
        <v>2</v>
      </c>
      <c r="AC13" s="4">
        <f>transform!CO55</f>
        <v>0</v>
      </c>
      <c r="AD13" s="4">
        <f>transform!CP55</f>
        <v>1</v>
      </c>
      <c r="AE13" s="4">
        <f t="shared" si="7"/>
        <v>0</v>
      </c>
      <c r="AF13" s="4">
        <f t="shared" si="8"/>
        <v>0</v>
      </c>
      <c r="AG13" s="4">
        <f t="shared" si="2"/>
        <v>1</v>
      </c>
      <c r="AH13" s="4">
        <f>transform!CQ55</f>
        <v>2</v>
      </c>
      <c r="AI13" s="4">
        <f t="shared" si="9"/>
        <v>1</v>
      </c>
      <c r="AJ13" s="4">
        <f t="shared" si="10"/>
        <v>1</v>
      </c>
      <c r="AK13" s="4">
        <f t="shared" si="11"/>
        <v>2</v>
      </c>
      <c r="AL13" s="4">
        <f t="shared" si="12"/>
        <v>1</v>
      </c>
      <c r="AM13" s="4">
        <f t="shared" si="13"/>
        <v>1</v>
      </c>
      <c r="AN13" s="4">
        <f t="shared" si="14"/>
        <v>2</v>
      </c>
      <c r="AO13" s="4">
        <f t="shared" si="15"/>
        <v>1</v>
      </c>
      <c r="AP13" s="4">
        <f t="shared" si="16"/>
        <v>1</v>
      </c>
      <c r="AQ13" s="4">
        <f t="shared" si="17"/>
        <v>1</v>
      </c>
      <c r="AR13" s="4">
        <f t="shared" si="18"/>
        <v>1</v>
      </c>
    </row>
    <row r="14" spans="1:44">
      <c r="A14" s="4">
        <v>0</v>
      </c>
      <c r="B14" s="4">
        <f>transform!A18</f>
        <v>3</v>
      </c>
      <c r="C14" s="4">
        <f>transform!B18</f>
        <v>1</v>
      </c>
      <c r="D14" s="4">
        <f>transform!C18</f>
        <v>2</v>
      </c>
      <c r="E14" s="7">
        <f>transform!D18</f>
        <v>40876</v>
      </c>
      <c r="F14" s="8">
        <f>transform!E18</f>
        <v>2</v>
      </c>
      <c r="G14" s="4">
        <f>transform!F18</f>
        <v>1989</v>
      </c>
      <c r="H14" s="8">
        <f>transform!G18</f>
        <v>3</v>
      </c>
      <c r="I14" s="8">
        <f>transform!H18</f>
        <v>1</v>
      </c>
      <c r="J14" s="4">
        <f>COUNTIF(Raw!AR18:CA18,1)/(COUNTIF(Raw!AR18:CA18,1)+COUNTIF(Raw!AR18:CA18,0))</f>
        <v>0.619047619047619</v>
      </c>
      <c r="K14" s="4">
        <f>transform!CC18</f>
        <v>1</v>
      </c>
      <c r="L14" s="4">
        <f>transform!CD18</f>
        <v>2</v>
      </c>
      <c r="M14" s="4">
        <f>transform!CE18</f>
        <v>1</v>
      </c>
      <c r="N14" s="4">
        <f>transform!CF18</f>
        <v>2</v>
      </c>
      <c r="O14" s="4">
        <f>transform!CG18</f>
        <v>1</v>
      </c>
      <c r="P14" s="4">
        <f>transform!CH18</f>
        <v>2</v>
      </c>
      <c r="Q14" s="4">
        <f>transform!CI18</f>
        <v>1</v>
      </c>
      <c r="R14" s="4">
        <f>transform!CJ18</f>
        <v>2</v>
      </c>
      <c r="S14" s="4">
        <f t="shared" si="3"/>
        <v>0</v>
      </c>
      <c r="T14" s="4">
        <f t="shared" si="4"/>
        <v>1</v>
      </c>
      <c r="U14" s="4">
        <f t="shared" si="0"/>
        <v>3</v>
      </c>
      <c r="V14" s="4">
        <f>transform!CK18</f>
        <v>2</v>
      </c>
      <c r="W14" s="4">
        <f>transform!CL18</f>
        <v>1</v>
      </c>
      <c r="X14" s="4">
        <f>transform!CM18</f>
        <v>1</v>
      </c>
      <c r="Y14" s="4">
        <f t="shared" si="5"/>
        <v>1</v>
      </c>
      <c r="Z14" s="4">
        <f t="shared" si="6"/>
        <v>0</v>
      </c>
      <c r="AA14" s="4">
        <f t="shared" si="1"/>
        <v>2</v>
      </c>
      <c r="AB14" s="4">
        <f>transform!CN18</f>
        <v>1</v>
      </c>
      <c r="AC14" s="4">
        <f>transform!CO18</f>
        <v>0</v>
      </c>
      <c r="AD14" s="4">
        <f>transform!CP18</f>
        <v>2</v>
      </c>
      <c r="AE14" s="4">
        <f t="shared" si="7"/>
        <v>0</v>
      </c>
      <c r="AF14" s="4">
        <f t="shared" si="8"/>
        <v>0</v>
      </c>
      <c r="AG14" s="4">
        <f t="shared" si="2"/>
        <v>1</v>
      </c>
      <c r="AH14" s="4">
        <f>transform!CQ18</f>
        <v>1</v>
      </c>
      <c r="AI14" s="4">
        <f t="shared" si="9"/>
        <v>1</v>
      </c>
      <c r="AJ14" s="4">
        <f t="shared" si="10"/>
        <v>1</v>
      </c>
      <c r="AK14" s="4">
        <f t="shared" si="11"/>
        <v>2</v>
      </c>
      <c r="AL14" s="4">
        <f t="shared" si="12"/>
        <v>1</v>
      </c>
      <c r="AM14" s="4">
        <f t="shared" si="13"/>
        <v>1</v>
      </c>
      <c r="AN14" s="4">
        <f t="shared" si="14"/>
        <v>1</v>
      </c>
      <c r="AO14" s="4">
        <f t="shared" si="15"/>
        <v>1</v>
      </c>
      <c r="AP14" s="4">
        <f t="shared" si="16"/>
        <v>2</v>
      </c>
      <c r="AQ14" s="4">
        <f t="shared" si="17"/>
        <v>1</v>
      </c>
      <c r="AR14" s="4">
        <f t="shared" si="18"/>
        <v>1</v>
      </c>
    </row>
    <row r="15" spans="1:44">
      <c r="A15" s="4">
        <v>0</v>
      </c>
      <c r="B15" s="4">
        <f>transform!A24</f>
        <v>4</v>
      </c>
      <c r="C15" s="4">
        <f>transform!B24</f>
        <v>1</v>
      </c>
      <c r="D15" s="4">
        <f>transform!C24</f>
        <v>1</v>
      </c>
      <c r="E15" s="7">
        <f>transform!D24</f>
        <v>40876</v>
      </c>
      <c r="F15" s="8">
        <f>transform!E24</f>
        <v>2</v>
      </c>
      <c r="G15" s="4">
        <f>transform!F24</f>
        <v>1990</v>
      </c>
      <c r="H15" s="8">
        <f>transform!G24</f>
        <v>1</v>
      </c>
      <c r="I15" s="8">
        <f>transform!H24</f>
        <v>1</v>
      </c>
      <c r="J15" s="4">
        <f>COUNTIF(Raw!AR24:CA24,1)/(COUNTIF(Raw!AR24:CA24,1)+COUNTIF(Raw!AR24:CA24,0))</f>
        <v>0.571428571428571</v>
      </c>
      <c r="K15" s="4">
        <f>transform!CC24</f>
        <v>2</v>
      </c>
      <c r="L15" s="4">
        <f>transform!CD24</f>
        <v>2</v>
      </c>
      <c r="M15" s="4">
        <f>transform!CE24</f>
        <v>2</v>
      </c>
      <c r="N15" s="4">
        <f>transform!CF24</f>
        <v>2</v>
      </c>
      <c r="O15" s="4">
        <f>transform!CG24</f>
        <v>2</v>
      </c>
      <c r="P15" s="4">
        <f>transform!CH24</f>
        <v>1</v>
      </c>
      <c r="Q15" s="4">
        <f>transform!CI24</f>
        <v>1</v>
      </c>
      <c r="R15" s="4">
        <f>transform!CJ24</f>
        <v>2</v>
      </c>
      <c r="S15" s="4">
        <f t="shared" si="3"/>
        <v>0</v>
      </c>
      <c r="T15" s="4">
        <f t="shared" si="4"/>
        <v>1</v>
      </c>
      <c r="U15" s="4">
        <f t="shared" si="0"/>
        <v>3</v>
      </c>
      <c r="V15" s="4">
        <f>transform!CK24</f>
        <v>2</v>
      </c>
      <c r="W15" s="4">
        <f>transform!CL24</f>
        <v>0</v>
      </c>
      <c r="X15" s="4">
        <f>transform!CM24</f>
        <v>2</v>
      </c>
      <c r="Y15" s="4">
        <f t="shared" si="5"/>
        <v>0</v>
      </c>
      <c r="Z15" s="4">
        <f t="shared" si="6"/>
        <v>0</v>
      </c>
      <c r="AA15" s="4">
        <f t="shared" si="1"/>
        <v>1</v>
      </c>
      <c r="AB15" s="4">
        <f>transform!CN24</f>
        <v>2</v>
      </c>
      <c r="AC15" s="4">
        <f>transform!CO24</f>
        <v>0</v>
      </c>
      <c r="AD15" s="4">
        <f>transform!CP24</f>
        <v>2</v>
      </c>
      <c r="AE15" s="4">
        <f t="shared" si="7"/>
        <v>0</v>
      </c>
      <c r="AF15" s="4">
        <f t="shared" si="8"/>
        <v>0</v>
      </c>
      <c r="AG15" s="4">
        <f t="shared" si="2"/>
        <v>1</v>
      </c>
      <c r="AH15" s="4">
        <f>transform!CQ24</f>
        <v>1</v>
      </c>
      <c r="AI15" s="4">
        <f t="shared" si="9"/>
        <v>1</v>
      </c>
      <c r="AJ15" s="4">
        <f t="shared" si="10"/>
        <v>2</v>
      </c>
      <c r="AK15" s="4">
        <f t="shared" si="11"/>
        <v>1</v>
      </c>
      <c r="AL15" s="4">
        <f t="shared" si="12"/>
        <v>1</v>
      </c>
      <c r="AM15" s="4">
        <f t="shared" si="13"/>
        <v>1</v>
      </c>
      <c r="AN15" s="4">
        <f t="shared" si="14"/>
        <v>1</v>
      </c>
      <c r="AO15" s="4">
        <f t="shared" si="15"/>
        <v>1</v>
      </c>
      <c r="AP15" s="4">
        <f t="shared" si="16"/>
        <v>2</v>
      </c>
      <c r="AQ15" s="4">
        <f t="shared" si="17"/>
        <v>1</v>
      </c>
      <c r="AR15" s="4">
        <f t="shared" si="18"/>
        <v>1</v>
      </c>
    </row>
    <row r="16" spans="1:44">
      <c r="A16" s="4">
        <v>0</v>
      </c>
      <c r="B16" s="4">
        <f>transform!A41</f>
        <v>1</v>
      </c>
      <c r="C16" s="4">
        <f>transform!B41</f>
        <v>2</v>
      </c>
      <c r="D16" s="4">
        <f>transform!C41</f>
        <v>4</v>
      </c>
      <c r="E16" s="7">
        <f>transform!D41</f>
        <v>40876</v>
      </c>
      <c r="F16" s="4">
        <f>transform!E41</f>
        <v>1</v>
      </c>
      <c r="G16" s="4">
        <f>transform!F41</f>
        <v>1988</v>
      </c>
      <c r="H16" s="8">
        <f>transform!G41</f>
        <v>3</v>
      </c>
      <c r="I16" s="8">
        <f>transform!H41</f>
        <v>1</v>
      </c>
      <c r="J16" s="4">
        <f>COUNTIF(Raw!AR41:CA41,1)/(COUNTIF(Raw!AR41:CA41,1)+COUNTIF(Raw!AR41:CA41,0))</f>
        <v>0.571428571428571</v>
      </c>
      <c r="K16" s="4">
        <f>transform!CC41</f>
        <v>2</v>
      </c>
      <c r="L16" s="4">
        <f>transform!CD41</f>
        <v>2</v>
      </c>
      <c r="M16" s="4">
        <f>transform!CE41</f>
        <v>2</v>
      </c>
      <c r="N16" s="4">
        <f>transform!CF41</f>
        <v>1</v>
      </c>
      <c r="O16" s="4">
        <f>transform!CG41</f>
        <v>2</v>
      </c>
      <c r="P16" s="4">
        <f>transform!CH41</f>
        <v>1</v>
      </c>
      <c r="Q16" s="4">
        <f>transform!CI41</f>
        <v>1</v>
      </c>
      <c r="R16" s="4">
        <f>transform!CJ41</f>
        <v>2</v>
      </c>
      <c r="S16" s="4">
        <f t="shared" si="3"/>
        <v>0</v>
      </c>
      <c r="T16" s="4">
        <f t="shared" si="4"/>
        <v>1</v>
      </c>
      <c r="U16" s="4">
        <f t="shared" si="0"/>
        <v>3</v>
      </c>
      <c r="V16" s="4">
        <f>transform!CK41</f>
        <v>2</v>
      </c>
      <c r="W16" s="4">
        <f>transform!CL41</f>
        <v>1</v>
      </c>
      <c r="X16" s="4">
        <f>transform!CM41</f>
        <v>2</v>
      </c>
      <c r="Y16" s="4">
        <f t="shared" si="5"/>
        <v>0</v>
      </c>
      <c r="Z16" s="4">
        <f t="shared" si="6"/>
        <v>1</v>
      </c>
      <c r="AA16" s="4">
        <f t="shared" si="1"/>
        <v>3</v>
      </c>
      <c r="AB16" s="4">
        <f>transform!CN41</f>
        <v>1</v>
      </c>
      <c r="AC16" s="4">
        <f>transform!CO41</f>
        <v>0</v>
      </c>
      <c r="AD16" s="4">
        <f>transform!CP41</f>
        <v>1</v>
      </c>
      <c r="AE16" s="4">
        <f t="shared" si="7"/>
        <v>0</v>
      </c>
      <c r="AF16" s="4">
        <f t="shared" si="8"/>
        <v>0</v>
      </c>
      <c r="AG16" s="4">
        <f t="shared" si="2"/>
        <v>1</v>
      </c>
      <c r="AH16" s="4">
        <f>transform!CQ41</f>
        <v>2</v>
      </c>
      <c r="AI16" s="4">
        <f t="shared" si="9"/>
        <v>1</v>
      </c>
      <c r="AJ16" s="4">
        <f t="shared" si="10"/>
        <v>2</v>
      </c>
      <c r="AK16" s="4">
        <f t="shared" si="11"/>
        <v>1</v>
      </c>
      <c r="AL16" s="4">
        <f t="shared" si="12"/>
        <v>1</v>
      </c>
      <c r="AM16" s="4">
        <f t="shared" si="13"/>
        <v>1</v>
      </c>
      <c r="AN16" s="4">
        <f t="shared" si="14"/>
        <v>1</v>
      </c>
      <c r="AO16" s="4">
        <f t="shared" si="15"/>
        <v>1</v>
      </c>
      <c r="AP16" s="4">
        <f t="shared" si="16"/>
        <v>2</v>
      </c>
      <c r="AQ16" s="4">
        <f t="shared" si="17"/>
        <v>1</v>
      </c>
      <c r="AR16" s="4">
        <f t="shared" si="18"/>
        <v>1</v>
      </c>
    </row>
    <row r="17" spans="1:44">
      <c r="A17" s="4">
        <v>0</v>
      </c>
      <c r="B17" s="4">
        <f>transform!A2</f>
        <v>1</v>
      </c>
      <c r="C17" s="4">
        <f>transform!B2</f>
        <v>1</v>
      </c>
      <c r="D17" s="4">
        <f>transform!C2</f>
        <v>1</v>
      </c>
      <c r="E17" s="7">
        <f>transform!D2</f>
        <v>40876</v>
      </c>
      <c r="F17" s="4">
        <f>transform!E2</f>
        <v>1</v>
      </c>
      <c r="G17" s="4">
        <f>transform!F2</f>
        <v>1991</v>
      </c>
      <c r="H17" s="8">
        <f>transform!G2</f>
        <v>1</v>
      </c>
      <c r="I17" s="8">
        <f>transform!H2</f>
        <v>1</v>
      </c>
      <c r="J17" s="4">
        <f>COUNTIF(Raw!AR2:CA2,1)/(COUNTIF(Raw!AR2:CA2,1)+COUNTIF(Raw!AR2:CA2,0))</f>
        <v>0.523809523809524</v>
      </c>
      <c r="K17" s="4">
        <f>transform!CC2</f>
        <v>2</v>
      </c>
      <c r="L17" s="4">
        <f>transform!CD2</f>
        <v>2</v>
      </c>
      <c r="M17" s="4">
        <f>transform!CE2</f>
        <v>2</v>
      </c>
      <c r="N17" s="4">
        <f>transform!CF2</f>
        <v>2</v>
      </c>
      <c r="O17" s="4">
        <f>transform!CG2</f>
        <v>2</v>
      </c>
      <c r="P17" s="4">
        <f>transform!CH2</f>
        <v>2</v>
      </c>
      <c r="Q17" s="4">
        <f>transform!CI2</f>
        <v>1</v>
      </c>
      <c r="R17" s="4">
        <f>transform!CJ2</f>
        <v>2</v>
      </c>
      <c r="S17" s="4">
        <f t="shared" si="3"/>
        <v>0</v>
      </c>
      <c r="T17" s="4">
        <f t="shared" si="4"/>
        <v>1</v>
      </c>
      <c r="U17" s="4">
        <f t="shared" si="0"/>
        <v>3</v>
      </c>
      <c r="V17" s="4">
        <f>transform!CK2</f>
        <v>2</v>
      </c>
      <c r="W17" s="4">
        <f>transform!CL2</f>
        <v>1</v>
      </c>
      <c r="X17" s="4">
        <f>transform!CM2</f>
        <v>1</v>
      </c>
      <c r="Y17" s="4">
        <f t="shared" si="5"/>
        <v>1</v>
      </c>
      <c r="Z17" s="4">
        <f t="shared" si="6"/>
        <v>0</v>
      </c>
      <c r="AA17" s="4">
        <f t="shared" si="1"/>
        <v>2</v>
      </c>
      <c r="AB17" s="4">
        <f>transform!CN2</f>
        <v>2</v>
      </c>
      <c r="AC17" s="4">
        <f>transform!CO2</f>
        <v>1</v>
      </c>
      <c r="AD17" s="4">
        <f>transform!CP2</f>
        <v>2</v>
      </c>
      <c r="AE17" s="4">
        <f t="shared" si="7"/>
        <v>0</v>
      </c>
      <c r="AF17" s="4">
        <f t="shared" si="8"/>
        <v>1</v>
      </c>
      <c r="AG17" s="4">
        <f t="shared" si="2"/>
        <v>3</v>
      </c>
      <c r="AH17" s="4">
        <f>transform!CQ2</f>
        <v>1</v>
      </c>
      <c r="AI17" s="4">
        <f t="shared" si="9"/>
        <v>1</v>
      </c>
      <c r="AJ17" s="4">
        <f t="shared" si="10"/>
        <v>2</v>
      </c>
      <c r="AK17" s="4">
        <f t="shared" si="11"/>
        <v>1</v>
      </c>
      <c r="AL17" s="4">
        <f t="shared" si="12"/>
        <v>1</v>
      </c>
      <c r="AM17" s="4">
        <f t="shared" si="13"/>
        <v>1</v>
      </c>
      <c r="AN17" s="4">
        <f t="shared" si="14"/>
        <v>1</v>
      </c>
      <c r="AO17" s="4">
        <f t="shared" si="15"/>
        <v>1</v>
      </c>
      <c r="AP17" s="4">
        <f t="shared" si="16"/>
        <v>2</v>
      </c>
      <c r="AQ17" s="4">
        <f t="shared" si="17"/>
        <v>1</v>
      </c>
      <c r="AR17" s="4">
        <f t="shared" si="18"/>
        <v>1</v>
      </c>
    </row>
    <row r="18" spans="1:44">
      <c r="A18" s="4">
        <v>0</v>
      </c>
      <c r="B18" s="4">
        <f>transform!A21</f>
        <v>3</v>
      </c>
      <c r="C18" s="4">
        <f>transform!B21</f>
        <v>1</v>
      </c>
      <c r="D18" s="4">
        <f>transform!C21</f>
        <v>5</v>
      </c>
      <c r="E18" s="7">
        <f>transform!D21</f>
        <v>40876</v>
      </c>
      <c r="F18" s="8">
        <f>transform!E21</f>
        <v>2</v>
      </c>
      <c r="G18" s="4">
        <f>transform!F21</f>
        <v>1993</v>
      </c>
      <c r="H18" s="8">
        <f>transform!G21</f>
        <v>3</v>
      </c>
      <c r="I18" s="8">
        <f>transform!H21</f>
        <v>1</v>
      </c>
      <c r="J18" s="4">
        <f>COUNTIF(Raw!AR21:CA21,1)/(COUNTIF(Raw!AR21:CA21,1)+COUNTIF(Raw!AR21:CA21,0))</f>
        <v>0.523809523809524</v>
      </c>
      <c r="K18" s="4">
        <f>transform!CC21</f>
        <v>2</v>
      </c>
      <c r="L18" s="4">
        <f>transform!CD21</f>
        <v>2</v>
      </c>
      <c r="M18" s="4">
        <f>transform!CE21</f>
        <v>2</v>
      </c>
      <c r="N18" s="4">
        <f>transform!CF21</f>
        <v>2</v>
      </c>
      <c r="O18" s="4">
        <f>transform!CG21</f>
        <v>2</v>
      </c>
      <c r="P18" s="4">
        <f>transform!CH21</f>
        <v>2</v>
      </c>
      <c r="Q18" s="4">
        <f>transform!CI21</f>
        <v>1</v>
      </c>
      <c r="R18" s="4">
        <f>transform!CJ21</f>
        <v>2</v>
      </c>
      <c r="S18" s="4">
        <f t="shared" si="3"/>
        <v>0</v>
      </c>
      <c r="T18" s="4">
        <f t="shared" si="4"/>
        <v>1</v>
      </c>
      <c r="U18" s="4">
        <f t="shared" si="0"/>
        <v>3</v>
      </c>
      <c r="V18" s="4">
        <f>transform!CK21</f>
        <v>2</v>
      </c>
      <c r="W18" s="4">
        <f>transform!CL21</f>
        <v>0</v>
      </c>
      <c r="X18" s="4">
        <f>transform!CM21</f>
        <v>1</v>
      </c>
      <c r="Y18" s="4">
        <f t="shared" si="5"/>
        <v>0</v>
      </c>
      <c r="Z18" s="4">
        <f t="shared" si="6"/>
        <v>0</v>
      </c>
      <c r="AA18" s="4">
        <f t="shared" si="1"/>
        <v>1</v>
      </c>
      <c r="AB18" s="4">
        <f>transform!CN21</f>
        <v>2</v>
      </c>
      <c r="AC18" s="4">
        <f>transform!CO21</f>
        <v>0</v>
      </c>
      <c r="AD18" s="4">
        <f>transform!CP21</f>
        <v>2</v>
      </c>
      <c r="AE18" s="4">
        <f t="shared" si="7"/>
        <v>0</v>
      </c>
      <c r="AF18" s="4">
        <f t="shared" si="8"/>
        <v>0</v>
      </c>
      <c r="AG18" s="4">
        <f t="shared" si="2"/>
        <v>1</v>
      </c>
      <c r="AH18" s="4">
        <f>transform!CQ21</f>
        <v>2</v>
      </c>
      <c r="AI18" s="4">
        <f t="shared" si="9"/>
        <v>1</v>
      </c>
      <c r="AJ18" s="4">
        <f t="shared" si="10"/>
        <v>2</v>
      </c>
      <c r="AK18" s="4">
        <f t="shared" si="11"/>
        <v>1</v>
      </c>
      <c r="AL18" s="4">
        <f t="shared" si="12"/>
        <v>1</v>
      </c>
      <c r="AM18" s="4">
        <f t="shared" si="13"/>
        <v>1</v>
      </c>
      <c r="AN18" s="4">
        <f t="shared" si="14"/>
        <v>1</v>
      </c>
      <c r="AO18" s="4">
        <f t="shared" si="15"/>
        <v>1</v>
      </c>
      <c r="AP18" s="4">
        <f t="shared" si="16"/>
        <v>2</v>
      </c>
      <c r="AQ18" s="4">
        <f t="shared" si="17"/>
        <v>1</v>
      </c>
      <c r="AR18" s="4">
        <f t="shared" si="18"/>
        <v>1</v>
      </c>
    </row>
    <row r="19" spans="1:44">
      <c r="A19" s="4">
        <v>0</v>
      </c>
      <c r="B19" s="4">
        <f>transform!A52</f>
        <v>2</v>
      </c>
      <c r="C19" s="4">
        <f>transform!B52</f>
        <v>2</v>
      </c>
      <c r="D19" s="4">
        <f>transform!C52</f>
        <v>7</v>
      </c>
      <c r="E19" s="7">
        <f>transform!D52</f>
        <v>40882</v>
      </c>
      <c r="F19" s="4">
        <f>transform!E52</f>
        <v>1</v>
      </c>
      <c r="G19" s="4">
        <f>transform!F52</f>
        <v>1990</v>
      </c>
      <c r="H19" s="8">
        <f>transform!G52</f>
        <v>1</v>
      </c>
      <c r="I19" s="8">
        <f>transform!H52</f>
        <v>1</v>
      </c>
      <c r="J19" s="4">
        <f>COUNTIF(Raw!AR52:CA52,1)/(COUNTIF(Raw!AR52:CA52,1)+COUNTIF(Raw!AR52:CA52,0))</f>
        <v>0.428571428571429</v>
      </c>
      <c r="K19" s="4">
        <f>transform!CC52</f>
        <v>2</v>
      </c>
      <c r="L19" s="4">
        <f>transform!CD52</f>
        <v>2</v>
      </c>
      <c r="M19" s="4">
        <f>transform!CE52</f>
        <v>2</v>
      </c>
      <c r="N19" s="4">
        <f>transform!CF52</f>
        <v>2</v>
      </c>
      <c r="O19" s="4">
        <f>transform!CG52</f>
        <v>1</v>
      </c>
      <c r="P19" s="4">
        <f>transform!CH52</f>
        <v>2</v>
      </c>
      <c r="Q19" s="4">
        <f>transform!CI52</f>
        <v>0</v>
      </c>
      <c r="R19" s="4">
        <f>transform!CJ52</f>
        <v>1</v>
      </c>
      <c r="S19" s="4">
        <f t="shared" si="3"/>
        <v>0</v>
      </c>
      <c r="T19" s="4">
        <f t="shared" si="4"/>
        <v>0</v>
      </c>
      <c r="U19" s="4">
        <f t="shared" si="0"/>
        <v>1</v>
      </c>
      <c r="V19" s="4">
        <f>transform!CK52</f>
        <v>2</v>
      </c>
      <c r="W19" s="4">
        <f>transform!CL52</f>
        <v>0</v>
      </c>
      <c r="X19" s="4">
        <f>transform!CM52</f>
        <v>1</v>
      </c>
      <c r="Y19" s="4">
        <f t="shared" si="5"/>
        <v>0</v>
      </c>
      <c r="Z19" s="4">
        <f t="shared" si="6"/>
        <v>0</v>
      </c>
      <c r="AA19" s="4">
        <f t="shared" si="1"/>
        <v>1</v>
      </c>
      <c r="AB19" s="4">
        <f>transform!CN52</f>
        <v>1</v>
      </c>
      <c r="AC19" s="4">
        <f>transform!CO52</f>
        <v>1</v>
      </c>
      <c r="AD19" s="4">
        <f>transform!CP52</f>
        <v>1</v>
      </c>
      <c r="AE19" s="4">
        <f t="shared" si="7"/>
        <v>1</v>
      </c>
      <c r="AF19" s="4">
        <f t="shared" si="8"/>
        <v>0</v>
      </c>
      <c r="AG19" s="4">
        <f t="shared" si="2"/>
        <v>2</v>
      </c>
      <c r="AH19" s="4">
        <f>transform!CQ52</f>
        <v>1</v>
      </c>
      <c r="AI19" s="4">
        <f t="shared" si="9"/>
        <v>1</v>
      </c>
      <c r="AJ19" s="4">
        <f t="shared" si="10"/>
        <v>2</v>
      </c>
      <c r="AK19" s="4">
        <f t="shared" si="11"/>
        <v>1</v>
      </c>
      <c r="AL19" s="4">
        <f t="shared" si="12"/>
        <v>1</v>
      </c>
      <c r="AM19" s="4">
        <f t="shared" si="13"/>
        <v>1</v>
      </c>
      <c r="AN19" s="4">
        <f t="shared" si="14"/>
        <v>2</v>
      </c>
      <c r="AO19" s="4">
        <f t="shared" si="15"/>
        <v>1</v>
      </c>
      <c r="AP19" s="4">
        <f t="shared" si="16"/>
        <v>1</v>
      </c>
      <c r="AQ19" s="4">
        <f t="shared" si="17"/>
        <v>1</v>
      </c>
      <c r="AR19" s="4">
        <f t="shared" si="18"/>
        <v>1</v>
      </c>
    </row>
    <row r="20" spans="1:44">
      <c r="A20" s="4">
        <v>0</v>
      </c>
      <c r="B20" s="4">
        <f>transform!A35</f>
        <v>5</v>
      </c>
      <c r="C20" s="4">
        <f>transform!B35</f>
        <v>1</v>
      </c>
      <c r="D20" s="4">
        <f>transform!C35</f>
        <v>4</v>
      </c>
      <c r="E20" s="7">
        <f>transform!D35</f>
        <v>40876</v>
      </c>
      <c r="F20" s="8">
        <f>transform!E35</f>
        <v>2</v>
      </c>
      <c r="G20" s="4">
        <f>transform!F35</f>
        <v>1993</v>
      </c>
      <c r="H20" s="8">
        <f>transform!G35</f>
        <v>3</v>
      </c>
      <c r="I20" s="8">
        <f>transform!H35</f>
        <v>1</v>
      </c>
      <c r="J20" s="4">
        <f>COUNTIF(Raw!AR35:CA35,1)/(COUNTIF(Raw!AR35:CA35,1)+COUNTIF(Raw!AR35:CA35,0))</f>
        <v>0.4</v>
      </c>
      <c r="K20" s="4">
        <f>transform!CC35</f>
        <v>2</v>
      </c>
      <c r="L20" s="4">
        <f>transform!CD35</f>
        <v>2</v>
      </c>
      <c r="M20" s="4">
        <f>transform!CE35</f>
        <v>2</v>
      </c>
      <c r="N20" s="4">
        <f>transform!CF35</f>
        <v>2</v>
      </c>
      <c r="O20" s="4">
        <f>transform!CG35</f>
        <v>2</v>
      </c>
      <c r="P20" s="4">
        <f>transform!CH35</f>
        <v>2</v>
      </c>
      <c r="Q20" s="4">
        <f>transform!CI35</f>
        <v>1</v>
      </c>
      <c r="R20" s="4">
        <f>transform!CJ35</f>
        <v>2</v>
      </c>
      <c r="S20" s="4">
        <f t="shared" si="3"/>
        <v>0</v>
      </c>
      <c r="T20" s="4">
        <f t="shared" si="4"/>
        <v>1</v>
      </c>
      <c r="U20" s="4">
        <f t="shared" si="0"/>
        <v>3</v>
      </c>
      <c r="V20" s="4">
        <f>transform!CK35</f>
        <v>2</v>
      </c>
      <c r="W20" s="4">
        <f>transform!CL35</f>
        <v>1</v>
      </c>
      <c r="X20" s="4">
        <f>transform!CM35</f>
        <v>2</v>
      </c>
      <c r="Y20" s="4">
        <f t="shared" si="5"/>
        <v>0</v>
      </c>
      <c r="Z20" s="4">
        <f t="shared" si="6"/>
        <v>1</v>
      </c>
      <c r="AA20" s="4">
        <f t="shared" si="1"/>
        <v>3</v>
      </c>
      <c r="AB20" s="4">
        <f>transform!CN35</f>
        <v>2</v>
      </c>
      <c r="AC20" s="4">
        <f>transform!CO35</f>
        <v>1</v>
      </c>
      <c r="AD20" s="4">
        <f>transform!CP35</f>
        <v>2</v>
      </c>
      <c r="AE20" s="4">
        <f t="shared" si="7"/>
        <v>0</v>
      </c>
      <c r="AF20" s="4">
        <f t="shared" si="8"/>
        <v>1</v>
      </c>
      <c r="AG20" s="4">
        <f t="shared" si="2"/>
        <v>3</v>
      </c>
      <c r="AH20" s="4">
        <f>transform!CQ35</f>
        <v>2</v>
      </c>
      <c r="AI20" s="4">
        <f t="shared" si="9"/>
        <v>1</v>
      </c>
      <c r="AJ20" s="4">
        <f t="shared" si="10"/>
        <v>2</v>
      </c>
      <c r="AK20" s="4">
        <f t="shared" si="11"/>
        <v>1</v>
      </c>
      <c r="AL20" s="4">
        <f t="shared" si="12"/>
        <v>1</v>
      </c>
      <c r="AM20" s="4">
        <f t="shared" si="13"/>
        <v>1</v>
      </c>
      <c r="AN20" s="4">
        <f t="shared" si="14"/>
        <v>1</v>
      </c>
      <c r="AO20" s="4">
        <f t="shared" si="15"/>
        <v>1</v>
      </c>
      <c r="AP20" s="4">
        <f t="shared" si="16"/>
        <v>2</v>
      </c>
      <c r="AQ20" s="4">
        <f t="shared" si="17"/>
        <v>1</v>
      </c>
      <c r="AR20" s="4">
        <f t="shared" si="18"/>
        <v>1</v>
      </c>
    </row>
    <row r="21" spans="1:44">
      <c r="A21" s="4">
        <v>0</v>
      </c>
      <c r="B21" s="4">
        <f>transform!A49</f>
        <v>2</v>
      </c>
      <c r="C21" s="4">
        <f>transform!B49</f>
        <v>2</v>
      </c>
      <c r="D21" s="4">
        <f>transform!C49</f>
        <v>4</v>
      </c>
      <c r="E21" s="7">
        <f>transform!D49</f>
        <v>40876</v>
      </c>
      <c r="F21" s="4">
        <f>transform!E49</f>
        <v>1</v>
      </c>
      <c r="G21" s="4">
        <f>transform!F49</f>
        <v>1990</v>
      </c>
      <c r="H21" s="8">
        <f>transform!G49</f>
        <v>1</v>
      </c>
      <c r="I21" s="4">
        <f>transform!H49</f>
        <v>2</v>
      </c>
      <c r="J21" s="4">
        <f>COUNTIF(Raw!AR49:CA49,1)/(COUNTIF(Raw!AR49:CA49,1)+COUNTIF(Raw!AR49:CA49,0))</f>
        <v>0.392857142857143</v>
      </c>
      <c r="K21" s="4">
        <f>transform!CC49</f>
        <v>2</v>
      </c>
      <c r="L21" s="4">
        <f>transform!CD49</f>
        <v>2</v>
      </c>
      <c r="M21" s="4">
        <f>transform!CE49</f>
        <v>2</v>
      </c>
      <c r="N21" s="4">
        <f>transform!CF49</f>
        <v>2</v>
      </c>
      <c r="O21" s="4">
        <f>transform!CG49</f>
        <v>2</v>
      </c>
      <c r="P21" s="4">
        <f>transform!CH49</f>
        <v>2</v>
      </c>
      <c r="Q21" s="4">
        <f>transform!CI49</f>
        <v>1</v>
      </c>
      <c r="R21" s="4">
        <f>transform!CJ49</f>
        <v>2</v>
      </c>
      <c r="S21" s="4">
        <f t="shared" si="3"/>
        <v>0</v>
      </c>
      <c r="T21" s="4">
        <f t="shared" si="4"/>
        <v>1</v>
      </c>
      <c r="U21" s="4">
        <f t="shared" si="0"/>
        <v>3</v>
      </c>
      <c r="V21" s="4">
        <f>transform!CK49</f>
        <v>2</v>
      </c>
      <c r="W21" s="4">
        <f>transform!CL49</f>
        <v>1</v>
      </c>
      <c r="X21" s="4">
        <f>transform!CM49</f>
        <v>2</v>
      </c>
      <c r="Y21" s="4">
        <f t="shared" si="5"/>
        <v>0</v>
      </c>
      <c r="Z21" s="4">
        <f t="shared" si="6"/>
        <v>1</v>
      </c>
      <c r="AA21" s="4">
        <f t="shared" si="1"/>
        <v>3</v>
      </c>
      <c r="AB21" s="4">
        <f>transform!CN49</f>
        <v>2</v>
      </c>
      <c r="AC21" s="4">
        <f>transform!CO49</f>
        <v>1</v>
      </c>
      <c r="AD21" s="4">
        <f>transform!CP49</f>
        <v>2</v>
      </c>
      <c r="AE21" s="4">
        <f t="shared" si="7"/>
        <v>0</v>
      </c>
      <c r="AF21" s="4">
        <f t="shared" si="8"/>
        <v>1</v>
      </c>
      <c r="AG21" s="4">
        <f t="shared" si="2"/>
        <v>3</v>
      </c>
      <c r="AH21" s="4">
        <f>transform!CQ49</f>
        <v>2</v>
      </c>
      <c r="AI21" s="4">
        <f t="shared" si="9"/>
        <v>1</v>
      </c>
      <c r="AJ21" s="4">
        <f t="shared" si="10"/>
        <v>2</v>
      </c>
      <c r="AK21" s="4">
        <f t="shared" si="11"/>
        <v>1</v>
      </c>
      <c r="AL21" s="4">
        <f t="shared" si="12"/>
        <v>1</v>
      </c>
      <c r="AM21" s="4">
        <f t="shared" si="13"/>
        <v>1</v>
      </c>
      <c r="AN21" s="4">
        <f t="shared" si="14"/>
        <v>1</v>
      </c>
      <c r="AO21" s="4">
        <f t="shared" si="15"/>
        <v>1</v>
      </c>
      <c r="AP21" s="4">
        <f t="shared" si="16"/>
        <v>2</v>
      </c>
      <c r="AQ21" s="4">
        <f t="shared" si="17"/>
        <v>1</v>
      </c>
      <c r="AR21" s="4">
        <f t="shared" si="18"/>
        <v>1</v>
      </c>
    </row>
    <row r="22" spans="1:44">
      <c r="A22" s="4">
        <v>0</v>
      </c>
      <c r="B22" s="4">
        <f>transform!A67</f>
        <v>4</v>
      </c>
      <c r="C22" s="4">
        <f>transform!B67</f>
        <v>2</v>
      </c>
      <c r="D22" s="4">
        <f>transform!C67</f>
        <v>5</v>
      </c>
      <c r="E22" s="7">
        <f>transform!D67</f>
        <v>40876</v>
      </c>
      <c r="F22" s="8">
        <f>transform!E67</f>
        <v>2</v>
      </c>
      <c r="G22" s="4">
        <f>transform!F67</f>
        <v>0</v>
      </c>
      <c r="H22" s="8">
        <f>transform!G67</f>
        <v>4</v>
      </c>
      <c r="I22" s="8">
        <f>transform!H67</f>
        <v>1</v>
      </c>
      <c r="J22" s="4">
        <f>COUNTIF(Raw!AR67:CA67,1)/(COUNTIF(Raw!AR67:CA67,1)+COUNTIF(Raw!AR67:CA67,0))</f>
        <v>0.380952380952381</v>
      </c>
      <c r="K22" s="4">
        <f>transform!CC67</f>
        <v>2</v>
      </c>
      <c r="L22" s="4">
        <f>transform!CD67</f>
        <v>2</v>
      </c>
      <c r="M22" s="4">
        <f>transform!CE67</f>
        <v>2</v>
      </c>
      <c r="N22" s="4">
        <f>transform!CF67</f>
        <v>2</v>
      </c>
      <c r="O22" s="4">
        <f>transform!CG67</f>
        <v>2</v>
      </c>
      <c r="P22" s="4">
        <f>transform!CH67</f>
        <v>2</v>
      </c>
      <c r="Q22" s="4">
        <f>transform!CI67</f>
        <v>0</v>
      </c>
      <c r="R22" s="4">
        <f>transform!CJ67</f>
        <v>2</v>
      </c>
      <c r="S22" s="4">
        <f t="shared" si="3"/>
        <v>0</v>
      </c>
      <c r="T22" s="4">
        <f t="shared" si="4"/>
        <v>0</v>
      </c>
      <c r="U22" s="4">
        <f t="shared" si="0"/>
        <v>1</v>
      </c>
      <c r="V22" s="4">
        <f>transform!CK67</f>
        <v>2</v>
      </c>
      <c r="W22" s="4">
        <f>transform!CL67</f>
        <v>0</v>
      </c>
      <c r="X22" s="4">
        <f>transform!CM67</f>
        <v>2</v>
      </c>
      <c r="Y22" s="4">
        <f t="shared" si="5"/>
        <v>0</v>
      </c>
      <c r="Z22" s="4">
        <f t="shared" si="6"/>
        <v>0</v>
      </c>
      <c r="AA22" s="4">
        <f t="shared" si="1"/>
        <v>1</v>
      </c>
      <c r="AB22" s="4">
        <f>transform!CN67</f>
        <v>2</v>
      </c>
      <c r="AC22" s="4">
        <f>transform!CO67</f>
        <v>0</v>
      </c>
      <c r="AD22" s="4">
        <f>transform!CP67</f>
        <v>2</v>
      </c>
      <c r="AE22" s="4">
        <f t="shared" si="7"/>
        <v>0</v>
      </c>
      <c r="AF22" s="4">
        <f t="shared" si="8"/>
        <v>0</v>
      </c>
      <c r="AG22" s="4">
        <f t="shared" si="2"/>
        <v>1</v>
      </c>
      <c r="AH22" s="4">
        <f>transform!CQ67</f>
        <v>2</v>
      </c>
      <c r="AI22" s="4">
        <f t="shared" si="9"/>
        <v>1</v>
      </c>
      <c r="AJ22" s="4">
        <f t="shared" si="10"/>
        <v>2</v>
      </c>
      <c r="AK22" s="4">
        <f t="shared" si="11"/>
        <v>1</v>
      </c>
      <c r="AL22" s="4">
        <f t="shared" si="12"/>
        <v>1</v>
      </c>
      <c r="AM22" s="4">
        <f t="shared" si="13"/>
        <v>1</v>
      </c>
      <c r="AN22" s="4">
        <f t="shared" si="14"/>
        <v>2</v>
      </c>
      <c r="AO22" s="4">
        <f t="shared" si="15"/>
        <v>1</v>
      </c>
      <c r="AP22" s="4">
        <f t="shared" si="16"/>
        <v>1</v>
      </c>
      <c r="AQ22" s="4">
        <f t="shared" si="17"/>
        <v>1</v>
      </c>
      <c r="AR22" s="4">
        <f t="shared" si="18"/>
        <v>1</v>
      </c>
    </row>
    <row r="23" spans="1:44">
      <c r="A23" s="4">
        <v>0</v>
      </c>
      <c r="B23" s="4">
        <f>transform!A39</f>
        <v>1</v>
      </c>
      <c r="C23" s="4">
        <f>transform!B39</f>
        <v>2</v>
      </c>
      <c r="D23" s="4">
        <f>transform!C39</f>
        <v>1</v>
      </c>
      <c r="E23" s="7">
        <f>transform!D39</f>
        <v>40876</v>
      </c>
      <c r="F23" s="4">
        <f>transform!E39</f>
        <v>1</v>
      </c>
      <c r="G23" s="4">
        <f>transform!F39</f>
        <v>1989</v>
      </c>
      <c r="H23" s="8">
        <f>transform!G39</f>
        <v>3</v>
      </c>
      <c r="I23" s="8">
        <f>transform!H39</f>
        <v>1</v>
      </c>
      <c r="J23" s="4">
        <f>COUNTIF(Raw!AR39:CA39,1)/(COUNTIF(Raw!AR39:CA39,1)+COUNTIF(Raw!AR39:CA39,0))</f>
        <v>0.333333333333333</v>
      </c>
      <c r="K23" s="4">
        <f>transform!CC39</f>
        <v>2</v>
      </c>
      <c r="L23" s="4">
        <f>transform!CD39</f>
        <v>2</v>
      </c>
      <c r="M23" s="4">
        <f>transform!CE39</f>
        <v>2</v>
      </c>
      <c r="N23" s="4">
        <f>transform!CF39</f>
        <v>2</v>
      </c>
      <c r="O23" s="4">
        <f>transform!CG39</f>
        <v>2</v>
      </c>
      <c r="P23" s="4">
        <f>transform!CH39</f>
        <v>2</v>
      </c>
      <c r="Q23" s="4">
        <f>transform!CI39</f>
        <v>1</v>
      </c>
      <c r="R23" s="4">
        <f>transform!CJ39</f>
        <v>2</v>
      </c>
      <c r="S23" s="4">
        <f t="shared" si="3"/>
        <v>0</v>
      </c>
      <c r="T23" s="4">
        <f t="shared" si="4"/>
        <v>1</v>
      </c>
      <c r="U23" s="4">
        <f t="shared" si="0"/>
        <v>3</v>
      </c>
      <c r="V23" s="4">
        <f>transform!CK39</f>
        <v>2</v>
      </c>
      <c r="W23" s="4">
        <f>transform!CL39</f>
        <v>1</v>
      </c>
      <c r="X23" s="4">
        <f>transform!CM39</f>
        <v>2</v>
      </c>
      <c r="Y23" s="4">
        <f t="shared" si="5"/>
        <v>0</v>
      </c>
      <c r="Z23" s="4">
        <f t="shared" si="6"/>
        <v>1</v>
      </c>
      <c r="AA23" s="4">
        <f t="shared" si="1"/>
        <v>3</v>
      </c>
      <c r="AB23" s="4">
        <f>transform!CN39</f>
        <v>2</v>
      </c>
      <c r="AC23" s="4">
        <f>transform!CO39</f>
        <v>1</v>
      </c>
      <c r="AD23" s="4">
        <f>transform!CP39</f>
        <v>2</v>
      </c>
      <c r="AE23" s="4">
        <f t="shared" si="7"/>
        <v>0</v>
      </c>
      <c r="AF23" s="4">
        <f t="shared" si="8"/>
        <v>1</v>
      </c>
      <c r="AG23" s="4">
        <f t="shared" si="2"/>
        <v>3</v>
      </c>
      <c r="AH23" s="4">
        <f>transform!CQ39</f>
        <v>2</v>
      </c>
      <c r="AI23" s="4">
        <f t="shared" si="9"/>
        <v>1</v>
      </c>
      <c r="AJ23" s="4">
        <f t="shared" si="10"/>
        <v>2</v>
      </c>
      <c r="AK23" s="4">
        <f t="shared" si="11"/>
        <v>1</v>
      </c>
      <c r="AL23" s="4">
        <f t="shared" si="12"/>
        <v>1</v>
      </c>
      <c r="AM23" s="4">
        <f t="shared" si="13"/>
        <v>1</v>
      </c>
      <c r="AN23" s="4">
        <f t="shared" si="14"/>
        <v>1</v>
      </c>
      <c r="AO23" s="4">
        <f t="shared" si="15"/>
        <v>1</v>
      </c>
      <c r="AP23" s="4">
        <f t="shared" si="16"/>
        <v>2</v>
      </c>
      <c r="AQ23" s="4">
        <f t="shared" si="17"/>
        <v>1</v>
      </c>
      <c r="AR23" s="4">
        <f t="shared" si="18"/>
        <v>1</v>
      </c>
    </row>
    <row r="24" spans="1:44">
      <c r="A24" s="4">
        <v>0</v>
      </c>
      <c r="B24" s="4">
        <f>transform!A40</f>
        <v>1</v>
      </c>
      <c r="C24" s="4">
        <f>transform!B40</f>
        <v>2</v>
      </c>
      <c r="D24" s="4">
        <f>transform!C40</f>
        <v>2</v>
      </c>
      <c r="E24" s="7">
        <f>transform!D40</f>
        <v>40876</v>
      </c>
      <c r="F24" s="4">
        <f>transform!E40</f>
        <v>1</v>
      </c>
      <c r="G24" s="4">
        <f>transform!F40</f>
        <v>1989</v>
      </c>
      <c r="H24" s="8">
        <f>transform!G40</f>
        <v>3</v>
      </c>
      <c r="I24" s="8">
        <f>transform!H40</f>
        <v>1</v>
      </c>
      <c r="J24" s="4">
        <f>COUNTIF(Raw!AR40:CA40,1)/(COUNTIF(Raw!AR40:CA40,1)+COUNTIF(Raw!AR40:CA40,0))</f>
        <v>0.285714285714286</v>
      </c>
      <c r="K24" s="4">
        <f>transform!CC40</f>
        <v>2</v>
      </c>
      <c r="L24" s="4">
        <f>transform!CD40</f>
        <v>2</v>
      </c>
      <c r="M24" s="4">
        <f>transform!CE40</f>
        <v>2</v>
      </c>
      <c r="N24" s="4">
        <f>transform!CF40</f>
        <v>2</v>
      </c>
      <c r="O24" s="4">
        <f>transform!CG40</f>
        <v>2</v>
      </c>
      <c r="P24" s="4">
        <f>transform!CH40</f>
        <v>2</v>
      </c>
      <c r="Q24" s="4">
        <f>transform!CI40</f>
        <v>1</v>
      </c>
      <c r="R24" s="4">
        <f>transform!CJ40</f>
        <v>2</v>
      </c>
      <c r="S24" s="4">
        <f t="shared" si="3"/>
        <v>0</v>
      </c>
      <c r="T24" s="4">
        <f t="shared" si="4"/>
        <v>1</v>
      </c>
      <c r="U24" s="4">
        <f t="shared" si="0"/>
        <v>3</v>
      </c>
      <c r="V24" s="4">
        <f>transform!CK40</f>
        <v>2</v>
      </c>
      <c r="W24" s="4">
        <f>transform!CL40</f>
        <v>1</v>
      </c>
      <c r="X24" s="4">
        <f>transform!CM40</f>
        <v>2</v>
      </c>
      <c r="Y24" s="4">
        <f t="shared" si="5"/>
        <v>0</v>
      </c>
      <c r="Z24" s="4">
        <f t="shared" si="6"/>
        <v>1</v>
      </c>
      <c r="AA24" s="4">
        <f t="shared" si="1"/>
        <v>3</v>
      </c>
      <c r="AB24" s="4">
        <f>transform!CN40</f>
        <v>2</v>
      </c>
      <c r="AC24" s="4">
        <f>transform!CO40</f>
        <v>0</v>
      </c>
      <c r="AD24" s="4">
        <f>transform!CP40</f>
        <v>2</v>
      </c>
      <c r="AE24" s="4">
        <f t="shared" si="7"/>
        <v>0</v>
      </c>
      <c r="AF24" s="4">
        <f t="shared" si="8"/>
        <v>0</v>
      </c>
      <c r="AG24" s="4">
        <f t="shared" si="2"/>
        <v>1</v>
      </c>
      <c r="AH24" s="4">
        <f>transform!CQ40</f>
        <v>2</v>
      </c>
      <c r="AI24" s="4">
        <f t="shared" si="9"/>
        <v>1</v>
      </c>
      <c r="AJ24" s="4">
        <f t="shared" si="10"/>
        <v>2</v>
      </c>
      <c r="AK24" s="4">
        <f t="shared" si="11"/>
        <v>1</v>
      </c>
      <c r="AL24" s="4">
        <f t="shared" si="12"/>
        <v>1</v>
      </c>
      <c r="AM24" s="4">
        <f t="shared" si="13"/>
        <v>1</v>
      </c>
      <c r="AN24" s="4">
        <f t="shared" si="14"/>
        <v>1</v>
      </c>
      <c r="AO24" s="4">
        <f t="shared" si="15"/>
        <v>1</v>
      </c>
      <c r="AP24" s="4">
        <f t="shared" si="16"/>
        <v>2</v>
      </c>
      <c r="AQ24" s="4">
        <f t="shared" si="17"/>
        <v>1</v>
      </c>
      <c r="AR24" s="4">
        <f t="shared" si="18"/>
        <v>1</v>
      </c>
    </row>
    <row r="25" spans="1:44">
      <c r="A25" s="4">
        <v>0</v>
      </c>
      <c r="B25" s="4">
        <f>transform!A64</f>
        <v>4</v>
      </c>
      <c r="C25" s="4">
        <f>transform!B64</f>
        <v>2</v>
      </c>
      <c r="D25" s="4">
        <f>transform!C64</f>
        <v>2</v>
      </c>
      <c r="E25" s="7">
        <f>transform!D64</f>
        <v>40876</v>
      </c>
      <c r="F25" s="8">
        <f>transform!E64</f>
        <v>2</v>
      </c>
      <c r="G25" s="4">
        <f>transform!F64</f>
        <v>1991</v>
      </c>
      <c r="H25" s="8">
        <f>transform!G64</f>
        <v>4</v>
      </c>
      <c r="I25" s="8">
        <f>transform!H64</f>
        <v>1</v>
      </c>
      <c r="J25" s="4">
        <f>COUNTIF(Raw!AR64:CA64,1)/(COUNTIF(Raw!AR64:CA64,1)+COUNTIF(Raw!AR64:CA64,0))</f>
        <v>0.285714285714286</v>
      </c>
      <c r="K25" s="4">
        <f>transform!CC64</f>
        <v>2</v>
      </c>
      <c r="L25" s="4">
        <f>transform!CD64</f>
        <v>2</v>
      </c>
      <c r="M25" s="4">
        <f>transform!CE64</f>
        <v>2</v>
      </c>
      <c r="N25" s="4">
        <f>transform!CF64</f>
        <v>2</v>
      </c>
      <c r="O25" s="4">
        <f>transform!CG64</f>
        <v>1</v>
      </c>
      <c r="P25" s="4">
        <f>transform!CH64</f>
        <v>2</v>
      </c>
      <c r="Q25" s="4">
        <f>transform!CI64</f>
        <v>1</v>
      </c>
      <c r="R25" s="4">
        <f>transform!CJ64</f>
        <v>1</v>
      </c>
      <c r="S25" s="4">
        <f t="shared" si="3"/>
        <v>1</v>
      </c>
      <c r="T25" s="4">
        <f t="shared" si="4"/>
        <v>0</v>
      </c>
      <c r="U25" s="4">
        <f t="shared" si="0"/>
        <v>2</v>
      </c>
      <c r="V25" s="4">
        <f>transform!CK64</f>
        <v>1</v>
      </c>
      <c r="W25" s="4">
        <f>transform!CL64</f>
        <v>1</v>
      </c>
      <c r="X25" s="4">
        <f>transform!CM64</f>
        <v>2</v>
      </c>
      <c r="Y25" s="4">
        <f t="shared" si="5"/>
        <v>0</v>
      </c>
      <c r="Z25" s="4">
        <f t="shared" si="6"/>
        <v>1</v>
      </c>
      <c r="AA25" s="4">
        <f t="shared" si="1"/>
        <v>3</v>
      </c>
      <c r="AB25" s="4">
        <f>transform!CN64</f>
        <v>2</v>
      </c>
      <c r="AC25" s="4">
        <f>transform!CO64</f>
        <v>1</v>
      </c>
      <c r="AD25" s="4">
        <f>transform!CP64</f>
        <v>2</v>
      </c>
      <c r="AE25" s="4">
        <f t="shared" si="7"/>
        <v>0</v>
      </c>
      <c r="AF25" s="4">
        <f t="shared" si="8"/>
        <v>1</v>
      </c>
      <c r="AG25" s="4">
        <f t="shared" si="2"/>
        <v>3</v>
      </c>
      <c r="AH25" s="4">
        <f>transform!CQ64</f>
        <v>1</v>
      </c>
      <c r="AI25" s="4">
        <f t="shared" si="9"/>
        <v>1</v>
      </c>
      <c r="AJ25" s="4">
        <f t="shared" si="10"/>
        <v>2</v>
      </c>
      <c r="AK25" s="4">
        <f t="shared" si="11"/>
        <v>1</v>
      </c>
      <c r="AL25" s="4">
        <f t="shared" si="12"/>
        <v>1</v>
      </c>
      <c r="AM25" s="4">
        <f t="shared" si="13"/>
        <v>1</v>
      </c>
      <c r="AN25" s="4">
        <f t="shared" si="14"/>
        <v>1</v>
      </c>
      <c r="AO25" s="4">
        <f t="shared" si="15"/>
        <v>2</v>
      </c>
      <c r="AP25" s="4">
        <f t="shared" si="16"/>
        <v>1</v>
      </c>
      <c r="AQ25" s="4">
        <f t="shared" si="17"/>
        <v>1</v>
      </c>
      <c r="AR25" s="4">
        <f t="shared" si="18"/>
        <v>1</v>
      </c>
    </row>
    <row r="26" spans="1:44">
      <c r="A26" s="4">
        <v>0</v>
      </c>
      <c r="B26" s="4">
        <f>transform!A68</f>
        <v>4</v>
      </c>
      <c r="C26" s="4">
        <f>transform!B68</f>
        <v>2</v>
      </c>
      <c r="D26" s="4">
        <f>transform!C68</f>
        <v>6</v>
      </c>
      <c r="E26" s="7">
        <f>transform!D68</f>
        <v>40876</v>
      </c>
      <c r="F26" s="8">
        <f>transform!E68</f>
        <v>2</v>
      </c>
      <c r="G26" s="4">
        <f>transform!F68</f>
        <v>1992</v>
      </c>
      <c r="H26" s="8">
        <f>transform!G68</f>
        <v>3</v>
      </c>
      <c r="I26" s="8">
        <f>transform!H68</f>
        <v>1</v>
      </c>
      <c r="J26" s="4">
        <f>COUNTIF(Raw!AR68:CA68,1)/(COUNTIF(Raw!AR68:CA68,1)+COUNTIF(Raw!AR68:CA68,0))</f>
        <v>0.285714285714286</v>
      </c>
      <c r="K26" s="4">
        <f>transform!CC68</f>
        <v>2</v>
      </c>
      <c r="L26" s="4">
        <f>transform!CD68</f>
        <v>2</v>
      </c>
      <c r="M26" s="4">
        <f>transform!CE68</f>
        <v>2</v>
      </c>
      <c r="N26" s="4">
        <f>transform!CF68</f>
        <v>2</v>
      </c>
      <c r="O26" s="4">
        <f>transform!CG68</f>
        <v>2</v>
      </c>
      <c r="P26" s="4">
        <f>transform!CH68</f>
        <v>1</v>
      </c>
      <c r="Q26" s="4">
        <f>transform!CI68</f>
        <v>1</v>
      </c>
      <c r="R26" s="4">
        <f>transform!CJ68</f>
        <v>2</v>
      </c>
      <c r="S26" s="4">
        <f t="shared" si="3"/>
        <v>0</v>
      </c>
      <c r="T26" s="4">
        <f t="shared" si="4"/>
        <v>1</v>
      </c>
      <c r="U26" s="4">
        <f t="shared" si="0"/>
        <v>3</v>
      </c>
      <c r="V26" s="4">
        <f>transform!CK68</f>
        <v>2</v>
      </c>
      <c r="W26" s="4">
        <f>transform!CL68</f>
        <v>1</v>
      </c>
      <c r="X26" s="4">
        <f>transform!CM68</f>
        <v>1</v>
      </c>
      <c r="Y26" s="4">
        <f t="shared" si="5"/>
        <v>1</v>
      </c>
      <c r="Z26" s="4">
        <f t="shared" si="6"/>
        <v>0</v>
      </c>
      <c r="AA26" s="4">
        <f t="shared" si="1"/>
        <v>2</v>
      </c>
      <c r="AB26" s="4">
        <f>transform!CN68</f>
        <v>1</v>
      </c>
      <c r="AC26" s="4">
        <f>transform!CO68</f>
        <v>0</v>
      </c>
      <c r="AD26" s="4">
        <f>transform!CP68</f>
        <v>1</v>
      </c>
      <c r="AE26" s="4">
        <f t="shared" si="7"/>
        <v>0</v>
      </c>
      <c r="AF26" s="4">
        <f t="shared" si="8"/>
        <v>0</v>
      </c>
      <c r="AG26" s="4">
        <f t="shared" si="2"/>
        <v>1</v>
      </c>
      <c r="AH26" s="4">
        <f>transform!CQ68</f>
        <v>1</v>
      </c>
      <c r="AI26" s="4">
        <f t="shared" si="9"/>
        <v>1</v>
      </c>
      <c r="AJ26" s="4">
        <f t="shared" si="10"/>
        <v>2</v>
      </c>
      <c r="AK26" s="4">
        <f t="shared" si="11"/>
        <v>1</v>
      </c>
      <c r="AL26" s="4">
        <f t="shared" si="12"/>
        <v>1</v>
      </c>
      <c r="AM26" s="4">
        <f t="shared" si="13"/>
        <v>1</v>
      </c>
      <c r="AN26" s="4">
        <f t="shared" si="14"/>
        <v>1</v>
      </c>
      <c r="AO26" s="4">
        <f t="shared" si="15"/>
        <v>1</v>
      </c>
      <c r="AP26" s="4">
        <f t="shared" si="16"/>
        <v>2</v>
      </c>
      <c r="AQ26" s="4">
        <f t="shared" si="17"/>
        <v>1</v>
      </c>
      <c r="AR26" s="4">
        <f t="shared" si="18"/>
        <v>1</v>
      </c>
    </row>
    <row r="27" spans="1:44">
      <c r="A27" s="4">
        <v>0</v>
      </c>
      <c r="B27" s="4">
        <f>transform!A38</f>
        <v>5</v>
      </c>
      <c r="C27" s="4">
        <f>transform!B38</f>
        <v>1</v>
      </c>
      <c r="D27" s="4">
        <f>transform!C38</f>
        <v>7</v>
      </c>
      <c r="E27" s="7">
        <f>transform!D38</f>
        <v>40876</v>
      </c>
      <c r="F27" s="8">
        <f>transform!E38</f>
        <v>2</v>
      </c>
      <c r="G27" s="4">
        <f>transform!F38</f>
        <v>1988</v>
      </c>
      <c r="H27" s="8">
        <f>transform!G38</f>
        <v>4</v>
      </c>
      <c r="I27" s="4">
        <f>transform!H38</f>
        <v>2</v>
      </c>
      <c r="J27" s="4">
        <f>COUNTIF(Raw!AR38:CA38,1)/(COUNTIF(Raw!AR38:CA38,1)+COUNTIF(Raw!AR38:CA38,0))</f>
        <v>0.266666666666667</v>
      </c>
      <c r="K27" s="4">
        <f>transform!CC38</f>
        <v>2</v>
      </c>
      <c r="L27" s="4">
        <f>transform!CD38</f>
        <v>2</v>
      </c>
      <c r="M27" s="4">
        <f>transform!CE38</f>
        <v>2</v>
      </c>
      <c r="N27" s="4">
        <f>transform!CF38</f>
        <v>2</v>
      </c>
      <c r="O27" s="4">
        <f>transform!CG38</f>
        <v>1</v>
      </c>
      <c r="P27" s="4">
        <f>transform!CH38</f>
        <v>2</v>
      </c>
      <c r="Q27" s="4">
        <f>transform!CI38</f>
        <v>1</v>
      </c>
      <c r="R27" s="4">
        <f>transform!CJ38</f>
        <v>2</v>
      </c>
      <c r="S27" s="4">
        <f t="shared" si="3"/>
        <v>0</v>
      </c>
      <c r="T27" s="4">
        <f t="shared" si="4"/>
        <v>1</v>
      </c>
      <c r="U27" s="4">
        <f t="shared" si="0"/>
        <v>3</v>
      </c>
      <c r="V27" s="4">
        <f>transform!CK38</f>
        <v>2</v>
      </c>
      <c r="W27" s="4">
        <f>transform!CL38</f>
        <v>1</v>
      </c>
      <c r="X27" s="4">
        <f>transform!CM38</f>
        <v>1</v>
      </c>
      <c r="Y27" s="4">
        <f t="shared" si="5"/>
        <v>1</v>
      </c>
      <c r="Z27" s="4">
        <f t="shared" si="6"/>
        <v>0</v>
      </c>
      <c r="AA27" s="4">
        <f t="shared" si="1"/>
        <v>2</v>
      </c>
      <c r="AB27" s="4">
        <f>transform!CN38</f>
        <v>2</v>
      </c>
      <c r="AC27" s="4">
        <f>transform!CO38</f>
        <v>1</v>
      </c>
      <c r="AD27" s="4">
        <f>transform!CP38</f>
        <v>1</v>
      </c>
      <c r="AE27" s="4">
        <f t="shared" si="7"/>
        <v>1</v>
      </c>
      <c r="AF27" s="4">
        <f t="shared" si="8"/>
        <v>0</v>
      </c>
      <c r="AG27" s="4">
        <f t="shared" si="2"/>
        <v>2</v>
      </c>
      <c r="AH27" s="4">
        <f>transform!CQ38</f>
        <v>2</v>
      </c>
      <c r="AI27" s="4">
        <f t="shared" si="9"/>
        <v>1</v>
      </c>
      <c r="AJ27" s="4">
        <f t="shared" si="10"/>
        <v>2</v>
      </c>
      <c r="AK27" s="4">
        <f t="shared" si="11"/>
        <v>1</v>
      </c>
      <c r="AL27" s="4">
        <f t="shared" si="12"/>
        <v>1</v>
      </c>
      <c r="AM27" s="4">
        <f t="shared" si="13"/>
        <v>1</v>
      </c>
      <c r="AN27" s="4">
        <f t="shared" si="14"/>
        <v>1</v>
      </c>
      <c r="AO27" s="4">
        <f t="shared" si="15"/>
        <v>1</v>
      </c>
      <c r="AP27" s="4">
        <f t="shared" si="16"/>
        <v>2</v>
      </c>
      <c r="AQ27" s="4">
        <f t="shared" si="17"/>
        <v>1</v>
      </c>
      <c r="AR27" s="4">
        <f t="shared" si="18"/>
        <v>1</v>
      </c>
    </row>
    <row r="28" spans="1:44">
      <c r="A28" s="4">
        <v>0</v>
      </c>
      <c r="B28" s="4">
        <f>transform!A53</f>
        <v>2</v>
      </c>
      <c r="C28" s="4">
        <f>transform!B53</f>
        <v>2</v>
      </c>
      <c r="D28" s="4">
        <f>transform!C53</f>
        <v>8</v>
      </c>
      <c r="E28" s="7">
        <f>transform!D53</f>
        <v>40876</v>
      </c>
      <c r="F28" s="4">
        <f>transform!E53</f>
        <v>1</v>
      </c>
      <c r="G28" s="4">
        <f>transform!F53</f>
        <v>1993</v>
      </c>
      <c r="H28" s="8">
        <f>transform!G53</f>
        <v>1</v>
      </c>
      <c r="I28" s="8">
        <f>transform!H53</f>
        <v>1</v>
      </c>
      <c r="J28" s="4">
        <f>COUNTIF(Raw!AR53:CA53,1)/(COUNTIF(Raw!AR53:CA53,1)+COUNTIF(Raw!AR53:CA53,0))</f>
        <v>0.233333333333333</v>
      </c>
      <c r="K28" s="4">
        <f>transform!CC53</f>
        <v>2</v>
      </c>
      <c r="L28" s="4">
        <f>transform!CD53</f>
        <v>2</v>
      </c>
      <c r="M28" s="4">
        <f>transform!CE53</f>
        <v>2</v>
      </c>
      <c r="N28" s="4">
        <f>transform!CF53</f>
        <v>2</v>
      </c>
      <c r="O28" s="4">
        <f>transform!CG53</f>
        <v>2</v>
      </c>
      <c r="P28" s="4">
        <f>transform!CH53</f>
        <v>2</v>
      </c>
      <c r="Q28" s="4">
        <f>transform!CI53</f>
        <v>1</v>
      </c>
      <c r="R28" s="4">
        <f>transform!CJ53</f>
        <v>2</v>
      </c>
      <c r="S28" s="4">
        <f t="shared" si="3"/>
        <v>0</v>
      </c>
      <c r="T28" s="4">
        <f t="shared" si="4"/>
        <v>1</v>
      </c>
      <c r="U28" s="4">
        <f t="shared" si="0"/>
        <v>3</v>
      </c>
      <c r="V28" s="4">
        <f>transform!CK53</f>
        <v>2</v>
      </c>
      <c r="W28" s="4">
        <f>transform!CL53</f>
        <v>0</v>
      </c>
      <c r="X28" s="4">
        <f>transform!CM53</f>
        <v>2</v>
      </c>
      <c r="Y28" s="4">
        <f t="shared" si="5"/>
        <v>0</v>
      </c>
      <c r="Z28" s="4">
        <f t="shared" si="6"/>
        <v>0</v>
      </c>
      <c r="AA28" s="4">
        <f t="shared" si="1"/>
        <v>1</v>
      </c>
      <c r="AB28" s="4">
        <f>transform!CN53</f>
        <v>1</v>
      </c>
      <c r="AC28" s="4">
        <f>transform!CO53</f>
        <v>1</v>
      </c>
      <c r="AD28" s="4">
        <f>transform!CP53</f>
        <v>1</v>
      </c>
      <c r="AE28" s="4">
        <f t="shared" si="7"/>
        <v>1</v>
      </c>
      <c r="AF28" s="4">
        <f t="shared" si="8"/>
        <v>0</v>
      </c>
      <c r="AG28" s="4">
        <f t="shared" si="2"/>
        <v>2</v>
      </c>
      <c r="AH28" s="4">
        <f>transform!CQ53</f>
        <v>1</v>
      </c>
      <c r="AI28" s="4">
        <f t="shared" si="9"/>
        <v>1</v>
      </c>
      <c r="AJ28" s="4">
        <f t="shared" si="10"/>
        <v>2</v>
      </c>
      <c r="AK28" s="4">
        <f t="shared" si="11"/>
        <v>1</v>
      </c>
      <c r="AL28" s="4">
        <f t="shared" si="12"/>
        <v>1</v>
      </c>
      <c r="AM28" s="4">
        <f t="shared" si="13"/>
        <v>1</v>
      </c>
      <c r="AN28" s="4">
        <f t="shared" si="14"/>
        <v>1</v>
      </c>
      <c r="AO28" s="4">
        <f t="shared" si="15"/>
        <v>1</v>
      </c>
      <c r="AP28" s="4">
        <f t="shared" si="16"/>
        <v>2</v>
      </c>
      <c r="AQ28" s="4">
        <f t="shared" si="17"/>
        <v>1</v>
      </c>
      <c r="AR28" s="4">
        <f t="shared" si="18"/>
        <v>1</v>
      </c>
    </row>
    <row r="29" spans="1:44">
      <c r="A29" s="4">
        <v>0</v>
      </c>
      <c r="B29" s="4">
        <f>transform!A48</f>
        <v>2</v>
      </c>
      <c r="C29" s="4">
        <f>transform!B48</f>
        <v>2</v>
      </c>
      <c r="D29" s="4">
        <f>transform!C48</f>
        <v>3</v>
      </c>
      <c r="E29" s="7">
        <f>transform!D48</f>
        <v>40876</v>
      </c>
      <c r="F29" s="4">
        <f>transform!E48</f>
        <v>1</v>
      </c>
      <c r="G29" s="4">
        <f>transform!F48</f>
        <v>1992</v>
      </c>
      <c r="H29" s="8">
        <f>transform!G48</f>
        <v>1</v>
      </c>
      <c r="I29" s="4">
        <f>transform!H48</f>
        <v>2</v>
      </c>
      <c r="J29" s="4">
        <f>COUNTIF(Raw!AR48:CA48,1)/(COUNTIF(Raw!AR48:CA48,1)+COUNTIF(Raw!AR48:CA48,0))</f>
        <v>0.214285714285714</v>
      </c>
      <c r="K29" s="4">
        <f>transform!CC48</f>
        <v>1</v>
      </c>
      <c r="L29" s="4">
        <f>transform!CD48</f>
        <v>1</v>
      </c>
      <c r="M29" s="4">
        <f>transform!CE48</f>
        <v>2</v>
      </c>
      <c r="N29" s="4">
        <f>transform!CF48</f>
        <v>1</v>
      </c>
      <c r="O29" s="4">
        <f>transform!CG48</f>
        <v>1</v>
      </c>
      <c r="P29" s="4">
        <f>transform!CH48</f>
        <v>1</v>
      </c>
      <c r="Q29" s="4">
        <f>transform!CI48</f>
        <v>1</v>
      </c>
      <c r="R29" s="4">
        <f>transform!CJ48</f>
        <v>2</v>
      </c>
      <c r="S29" s="4">
        <f t="shared" si="3"/>
        <v>0</v>
      </c>
      <c r="T29" s="4">
        <f t="shared" si="4"/>
        <v>1</v>
      </c>
      <c r="U29" s="4">
        <f t="shared" si="0"/>
        <v>3</v>
      </c>
      <c r="V29" s="4">
        <f>transform!CK48</f>
        <v>2</v>
      </c>
      <c r="W29" s="4">
        <f>transform!CL48</f>
        <v>1</v>
      </c>
      <c r="X29" s="4">
        <f>transform!CM48</f>
        <v>2</v>
      </c>
      <c r="Y29" s="4">
        <f t="shared" si="5"/>
        <v>0</v>
      </c>
      <c r="Z29" s="4">
        <f t="shared" si="6"/>
        <v>1</v>
      </c>
      <c r="AA29" s="4">
        <f t="shared" si="1"/>
        <v>3</v>
      </c>
      <c r="AB29" s="4">
        <f>transform!CN48</f>
        <v>1</v>
      </c>
      <c r="AC29" s="4">
        <f>transform!CO48</f>
        <v>0</v>
      </c>
      <c r="AD29" s="4">
        <f>transform!CP48</f>
        <v>2</v>
      </c>
      <c r="AE29" s="4">
        <f t="shared" si="7"/>
        <v>0</v>
      </c>
      <c r="AF29" s="4">
        <f t="shared" si="8"/>
        <v>0</v>
      </c>
      <c r="AG29" s="4">
        <f t="shared" si="2"/>
        <v>1</v>
      </c>
      <c r="AH29" s="4">
        <f>transform!CQ48</f>
        <v>1</v>
      </c>
      <c r="AI29" s="4">
        <f t="shared" si="9"/>
        <v>2</v>
      </c>
      <c r="AJ29" s="4">
        <f t="shared" si="10"/>
        <v>1</v>
      </c>
      <c r="AK29" s="4">
        <f t="shared" si="11"/>
        <v>1</v>
      </c>
      <c r="AL29" s="4">
        <f t="shared" si="12"/>
        <v>1</v>
      </c>
      <c r="AM29" s="4">
        <f t="shared" si="13"/>
        <v>1</v>
      </c>
      <c r="AN29" s="4">
        <f t="shared" si="14"/>
        <v>1</v>
      </c>
      <c r="AO29" s="4">
        <f t="shared" si="15"/>
        <v>1</v>
      </c>
      <c r="AP29" s="4">
        <f t="shared" si="16"/>
        <v>2</v>
      </c>
      <c r="AQ29" s="4">
        <f t="shared" si="17"/>
        <v>1</v>
      </c>
      <c r="AR29" s="4">
        <f t="shared" si="18"/>
        <v>1</v>
      </c>
    </row>
    <row r="30" spans="1:44">
      <c r="A30" s="4">
        <v>0</v>
      </c>
      <c r="B30" s="4">
        <f>transform!A33</f>
        <v>5</v>
      </c>
      <c r="C30" s="4">
        <f>transform!B33</f>
        <v>1</v>
      </c>
      <c r="D30" s="4">
        <f>transform!C33</f>
        <v>2</v>
      </c>
      <c r="E30" s="7">
        <f>transform!D33</f>
        <v>40876</v>
      </c>
      <c r="F30" s="8">
        <f>transform!E33</f>
        <v>2</v>
      </c>
      <c r="G30" s="4">
        <f>transform!F33</f>
        <v>1989</v>
      </c>
      <c r="H30" s="8">
        <f>transform!G33</f>
        <v>4</v>
      </c>
      <c r="I30" s="8">
        <f>transform!H33</f>
        <v>1</v>
      </c>
      <c r="J30" s="4">
        <f>COUNTIF(Raw!AR33:CA33,1)/(COUNTIF(Raw!AR33:CA33,1)+COUNTIF(Raw!AR33:CA33,0))</f>
        <v>0.2</v>
      </c>
      <c r="K30" s="4">
        <f>transform!CC33</f>
        <v>2</v>
      </c>
      <c r="L30" s="4">
        <f>transform!CD33</f>
        <v>2</v>
      </c>
      <c r="M30" s="4">
        <f>transform!CE33</f>
        <v>1</v>
      </c>
      <c r="N30" s="4">
        <f>transform!CF33</f>
        <v>2</v>
      </c>
      <c r="O30" s="4">
        <f>transform!CG33</f>
        <v>2</v>
      </c>
      <c r="P30" s="4">
        <f>transform!CH33</f>
        <v>1</v>
      </c>
      <c r="Q30" s="4">
        <f>transform!CI33</f>
        <v>1</v>
      </c>
      <c r="R30" s="4">
        <f>transform!CJ33</f>
        <v>1</v>
      </c>
      <c r="S30" s="4">
        <f t="shared" si="3"/>
        <v>1</v>
      </c>
      <c r="T30" s="4">
        <f t="shared" si="4"/>
        <v>0</v>
      </c>
      <c r="U30" s="4">
        <f t="shared" si="0"/>
        <v>2</v>
      </c>
      <c r="V30" s="4">
        <f>transform!CK33</f>
        <v>1</v>
      </c>
      <c r="W30" s="4">
        <f>transform!CL33</f>
        <v>1</v>
      </c>
      <c r="X30" s="4">
        <f>transform!CM33</f>
        <v>2</v>
      </c>
      <c r="Y30" s="4">
        <f t="shared" si="5"/>
        <v>0</v>
      </c>
      <c r="Z30" s="4">
        <f t="shared" si="6"/>
        <v>1</v>
      </c>
      <c r="AA30" s="4">
        <f t="shared" si="1"/>
        <v>3</v>
      </c>
      <c r="AB30" s="4">
        <f>transform!CN33</f>
        <v>2</v>
      </c>
      <c r="AC30" s="4">
        <f>transform!CO33</f>
        <v>0</v>
      </c>
      <c r="AD30" s="4">
        <f>transform!CP33</f>
        <v>1</v>
      </c>
      <c r="AE30" s="4">
        <f t="shared" si="7"/>
        <v>0</v>
      </c>
      <c r="AF30" s="4">
        <f t="shared" si="8"/>
        <v>0</v>
      </c>
      <c r="AG30" s="4">
        <f t="shared" si="2"/>
        <v>1</v>
      </c>
      <c r="AH30" s="4">
        <f>transform!CQ33</f>
        <v>2</v>
      </c>
      <c r="AI30" s="4">
        <f t="shared" si="9"/>
        <v>1</v>
      </c>
      <c r="AJ30" s="4">
        <f t="shared" si="10"/>
        <v>2</v>
      </c>
      <c r="AK30" s="4">
        <f t="shared" si="11"/>
        <v>1</v>
      </c>
      <c r="AL30" s="4">
        <f t="shared" si="12"/>
        <v>1</v>
      </c>
      <c r="AM30" s="4">
        <f t="shared" si="13"/>
        <v>1</v>
      </c>
      <c r="AN30" s="4">
        <f t="shared" si="14"/>
        <v>1</v>
      </c>
      <c r="AO30" s="4">
        <f t="shared" si="15"/>
        <v>2</v>
      </c>
      <c r="AP30" s="4">
        <f t="shared" si="16"/>
        <v>1</v>
      </c>
      <c r="AQ30" s="4">
        <f t="shared" si="17"/>
        <v>1</v>
      </c>
      <c r="AR30" s="4">
        <f t="shared" si="18"/>
        <v>1</v>
      </c>
    </row>
    <row r="31" spans="1:44">
      <c r="A31" s="4">
        <v>0</v>
      </c>
      <c r="B31" s="4">
        <f>transform!A36</f>
        <v>5</v>
      </c>
      <c r="C31" s="4">
        <f>transform!B36</f>
        <v>1</v>
      </c>
      <c r="D31" s="4">
        <f>transform!C36</f>
        <v>5</v>
      </c>
      <c r="E31" s="7">
        <f>transform!D36</f>
        <v>40876</v>
      </c>
      <c r="F31" s="8">
        <f>transform!E36</f>
        <v>2</v>
      </c>
      <c r="G31" s="4">
        <f>transform!F36</f>
        <v>1992</v>
      </c>
      <c r="H31" s="8">
        <f>transform!G36</f>
        <v>6</v>
      </c>
      <c r="I31" s="8">
        <f>transform!H36</f>
        <v>1</v>
      </c>
      <c r="J31" s="4">
        <f>COUNTIF(Raw!AR36:CA36,1)/(COUNTIF(Raw!AR36:CA36,1)+COUNTIF(Raw!AR36:CA36,0))</f>
        <v>0.2</v>
      </c>
      <c r="K31" s="4">
        <f>transform!CC36</f>
        <v>1</v>
      </c>
      <c r="L31" s="4">
        <f>transform!CD36</f>
        <v>1</v>
      </c>
      <c r="M31" s="4">
        <f>transform!CE36</f>
        <v>1</v>
      </c>
      <c r="N31" s="4">
        <f>transform!CF36</f>
        <v>1</v>
      </c>
      <c r="O31" s="4">
        <f>transform!CG36</f>
        <v>1</v>
      </c>
      <c r="P31" s="4">
        <f>transform!CH36</f>
        <v>1</v>
      </c>
      <c r="Q31" s="4">
        <f>transform!CI36</f>
        <v>1</v>
      </c>
      <c r="R31" s="4">
        <f>transform!CJ36</f>
        <v>2</v>
      </c>
      <c r="S31" s="4">
        <f t="shared" si="3"/>
        <v>0</v>
      </c>
      <c r="T31" s="4">
        <f t="shared" si="4"/>
        <v>1</v>
      </c>
      <c r="U31" s="4">
        <f t="shared" si="0"/>
        <v>3</v>
      </c>
      <c r="V31" s="4">
        <f>transform!CK36</f>
        <v>2</v>
      </c>
      <c r="W31" s="4">
        <f>transform!CL36</f>
        <v>1</v>
      </c>
      <c r="X31" s="4">
        <f>transform!CM36</f>
        <v>1</v>
      </c>
      <c r="Y31" s="4">
        <f t="shared" si="5"/>
        <v>1</v>
      </c>
      <c r="Z31" s="4">
        <f t="shared" si="6"/>
        <v>0</v>
      </c>
      <c r="AA31" s="4">
        <f t="shared" si="1"/>
        <v>2</v>
      </c>
      <c r="AB31" s="4">
        <f>transform!CN36</f>
        <v>1</v>
      </c>
      <c r="AC31" s="4">
        <f>transform!CO36</f>
        <v>0</v>
      </c>
      <c r="AD31" s="4">
        <f>transform!CP36</f>
        <v>2</v>
      </c>
      <c r="AE31" s="4">
        <f t="shared" si="7"/>
        <v>0</v>
      </c>
      <c r="AF31" s="4">
        <f t="shared" si="8"/>
        <v>0</v>
      </c>
      <c r="AG31" s="4">
        <f t="shared" si="2"/>
        <v>1</v>
      </c>
      <c r="AH31" s="4">
        <f>transform!CQ36</f>
        <v>1</v>
      </c>
      <c r="AI31" s="4">
        <f t="shared" si="9"/>
        <v>2</v>
      </c>
      <c r="AJ31" s="4">
        <f t="shared" si="10"/>
        <v>1</v>
      </c>
      <c r="AK31" s="4">
        <f t="shared" si="11"/>
        <v>1</v>
      </c>
      <c r="AL31" s="4">
        <f t="shared" si="12"/>
        <v>1</v>
      </c>
      <c r="AM31" s="4">
        <f t="shared" si="13"/>
        <v>1</v>
      </c>
      <c r="AN31" s="4">
        <f t="shared" si="14"/>
        <v>1</v>
      </c>
      <c r="AO31" s="4">
        <f t="shared" si="15"/>
        <v>1</v>
      </c>
      <c r="AP31" s="4">
        <f t="shared" si="16"/>
        <v>2</v>
      </c>
      <c r="AQ31" s="4">
        <f t="shared" si="17"/>
        <v>1</v>
      </c>
      <c r="AR31" s="4">
        <f t="shared" si="18"/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0"/>
  <sheetViews>
    <sheetView workbookViewId="0">
      <selection activeCell="AI35" sqref="AI35"/>
    </sheetView>
  </sheetViews>
  <sheetFormatPr defaultColWidth="8.83636363636364" defaultRowHeight="14"/>
  <cols>
    <col min="1" max="4" width="8.83636363636364" style="4"/>
    <col min="5" max="5" width="15.5" style="4" customWidth="1"/>
    <col min="6" max="6" width="9.66363636363636" style="4" customWidth="1"/>
    <col min="7" max="7" width="9.33636363636364" style="4" customWidth="1"/>
    <col min="8" max="8" width="8.83636363636364" style="4"/>
    <col min="9" max="9" width="13.1636363636364" style="4" customWidth="1"/>
    <col min="10" max="10" width="19" style="4" customWidth="1"/>
    <col min="11" max="20" width="8.83636363636364" style="4"/>
    <col min="21" max="21" width="9.66363636363636" style="4" customWidth="1"/>
    <col min="22" max="26" width="8.83636363636364" style="4"/>
    <col min="27" max="27" width="9.83636363636364" style="4" customWidth="1"/>
    <col min="28" max="32" width="8.83636363636364" style="4"/>
    <col min="33" max="33" width="9.66363636363636" style="4" customWidth="1"/>
    <col min="34" max="16384" width="8.83636363636364" style="4"/>
  </cols>
  <sheetData>
    <row r="1" ht="14.75" spans="1:44">
      <c r="A1" s="5" t="s">
        <v>542</v>
      </c>
      <c r="B1" s="5" t="s">
        <v>0</v>
      </c>
      <c r="C1" s="5" t="s">
        <v>323</v>
      </c>
      <c r="D1" s="5" t="s">
        <v>1</v>
      </c>
      <c r="E1" s="5" t="s">
        <v>324</v>
      </c>
      <c r="F1" s="5" t="s">
        <v>325</v>
      </c>
      <c r="G1" s="5" t="s">
        <v>326</v>
      </c>
      <c r="H1" s="5" t="s">
        <v>5</v>
      </c>
      <c r="I1" s="5" t="s">
        <v>327</v>
      </c>
      <c r="J1" s="5" t="s">
        <v>584</v>
      </c>
      <c r="K1" s="5" t="s">
        <v>400</v>
      </c>
      <c r="L1" s="5" t="s">
        <v>401</v>
      </c>
      <c r="M1" s="5" t="s">
        <v>402</v>
      </c>
      <c r="N1" s="5" t="s">
        <v>403</v>
      </c>
      <c r="O1" s="5" t="s">
        <v>404</v>
      </c>
      <c r="P1" s="5" t="s">
        <v>405</v>
      </c>
      <c r="Q1" s="5" t="s">
        <v>406</v>
      </c>
      <c r="R1" s="5" t="s">
        <v>407</v>
      </c>
      <c r="S1" s="5" t="s">
        <v>545</v>
      </c>
      <c r="T1" s="5" t="s">
        <v>546</v>
      </c>
      <c r="U1" s="5" t="s">
        <v>547</v>
      </c>
      <c r="V1" s="5" t="s">
        <v>408</v>
      </c>
      <c r="W1" s="5" t="s">
        <v>409</v>
      </c>
      <c r="X1" s="5" t="s">
        <v>410</v>
      </c>
      <c r="Y1" s="5" t="s">
        <v>548</v>
      </c>
      <c r="Z1" s="5" t="s">
        <v>549</v>
      </c>
      <c r="AA1" s="5" t="s">
        <v>550</v>
      </c>
      <c r="AB1" s="5" t="s">
        <v>411</v>
      </c>
      <c r="AC1" s="5" t="s">
        <v>412</v>
      </c>
      <c r="AD1" s="5" t="s">
        <v>413</v>
      </c>
      <c r="AE1" s="5" t="s">
        <v>551</v>
      </c>
      <c r="AF1" s="5" t="s">
        <v>552</v>
      </c>
      <c r="AG1" s="5" t="s">
        <v>553</v>
      </c>
      <c r="AH1" s="5" t="s">
        <v>414</v>
      </c>
      <c r="AI1" s="6" t="s">
        <v>554</v>
      </c>
      <c r="AJ1" s="6" t="s">
        <v>555</v>
      </c>
      <c r="AK1" s="6" t="s">
        <v>556</v>
      </c>
      <c r="AL1" s="6" t="s">
        <v>557</v>
      </c>
      <c r="AM1" s="5" t="s">
        <v>566</v>
      </c>
      <c r="AN1" s="5" t="s">
        <v>567</v>
      </c>
      <c r="AO1" s="5" t="s">
        <v>568</v>
      </c>
      <c r="AP1" s="5" t="s">
        <v>569</v>
      </c>
      <c r="AQ1" s="5" t="s">
        <v>570</v>
      </c>
      <c r="AR1" s="5" t="s">
        <v>571</v>
      </c>
    </row>
    <row r="2" spans="1:44">
      <c r="A2" s="4">
        <v>0</v>
      </c>
      <c r="B2" s="4">
        <f>transform!A58</f>
        <v>3</v>
      </c>
      <c r="C2" s="4">
        <f>transform!B58</f>
        <v>2</v>
      </c>
      <c r="D2" s="4">
        <f>transform!C58</f>
        <v>4</v>
      </c>
      <c r="E2" s="7">
        <f>transform!D58</f>
        <v>40876</v>
      </c>
      <c r="F2" s="4">
        <f>transform!E58</f>
        <v>1</v>
      </c>
      <c r="G2" s="4">
        <f>transform!F58</f>
        <v>1992</v>
      </c>
      <c r="H2" s="8">
        <f>transform!G58</f>
        <v>3</v>
      </c>
      <c r="I2" s="8">
        <f>transform!H58</f>
        <v>1</v>
      </c>
      <c r="J2" s="4">
        <f>COUNTIF(Raw!AR58:CA58,1)/(COUNTIF(Raw!AR58:CA58,1)+COUNTIF(Raw!AR58:CA58,0))</f>
        <v>0.523809523809524</v>
      </c>
      <c r="K2" s="4">
        <f>transform!CC58</f>
        <v>2</v>
      </c>
      <c r="L2" s="4">
        <f>transform!CD58</f>
        <v>2</v>
      </c>
      <c r="M2" s="4">
        <f>transform!CE58</f>
        <v>2</v>
      </c>
      <c r="N2" s="4">
        <f>transform!CF58</f>
        <v>2</v>
      </c>
      <c r="O2" s="4">
        <f>transform!CG58</f>
        <v>2</v>
      </c>
      <c r="P2" s="4">
        <f>transform!CH58</f>
        <v>1</v>
      </c>
      <c r="Q2" s="4">
        <f>transform!CI58</f>
        <v>0</v>
      </c>
      <c r="R2" s="4">
        <f>transform!CJ58</f>
        <v>2</v>
      </c>
      <c r="S2" s="4">
        <f>IF(Q2=1,IF(R2=1,1,0),0)</f>
        <v>0</v>
      </c>
      <c r="T2" s="4">
        <f>IF(Q2=1,IF(R2=2,1,0),0)</f>
        <v>0</v>
      </c>
      <c r="U2" s="4">
        <f t="shared" ref="U2:U40" si="0">IF(Q2=1,R2+1,IF(NOT(R2=0),1,0))</f>
        <v>1</v>
      </c>
      <c r="V2" s="4">
        <f>transform!CK58</f>
        <v>2</v>
      </c>
      <c r="W2" s="4">
        <f>transform!CL58</f>
        <v>0</v>
      </c>
      <c r="X2" s="4">
        <f>transform!CM58</f>
        <v>2</v>
      </c>
      <c r="Y2" s="4">
        <f>IF(W2=1,IF(X2=1,1,0),0)</f>
        <v>0</v>
      </c>
      <c r="Z2" s="4">
        <f>IF(W2=1,IF(X2=2,1,0),0)</f>
        <v>0</v>
      </c>
      <c r="AA2" s="4">
        <f t="shared" ref="AA2:AA40" si="1">IF(W2=1,X2+1,IF(NOT(X2=0),1,0))</f>
        <v>1</v>
      </c>
      <c r="AB2" s="4">
        <f>transform!CN58</f>
        <v>2</v>
      </c>
      <c r="AC2" s="4">
        <f>transform!CO58</f>
        <v>0</v>
      </c>
      <c r="AD2" s="4">
        <f>transform!CP58</f>
        <v>2</v>
      </c>
      <c r="AE2" s="4">
        <f>IF(AC2=1,IF(AD2=1,1,0),0)</f>
        <v>0</v>
      </c>
      <c r="AF2" s="4">
        <f>IF(AC2=1,IF(AD2=2,1,0),0)</f>
        <v>0</v>
      </c>
      <c r="AG2" s="4">
        <f t="shared" ref="AG2:AG40" si="2">IF(AC2=1,AD2+1,IF(NOT(AD2=0),1,0))</f>
        <v>1</v>
      </c>
      <c r="AH2" s="4">
        <f>transform!CQ58</f>
        <v>2</v>
      </c>
      <c r="AI2" s="4">
        <f>IF(AND($K2=1,$L2=1),2,1)</f>
        <v>1</v>
      </c>
      <c r="AJ2" s="4">
        <f>IF(AND($K2=2,$L2=2),2,1)</f>
        <v>2</v>
      </c>
      <c r="AK2" s="4">
        <f>IF(AND($K2=1,$L2=2),2,1)</f>
        <v>1</v>
      </c>
      <c r="AL2" s="4">
        <f>IF(AND($K2=2,$L2=1),2,1)</f>
        <v>1</v>
      </c>
      <c r="AM2" s="4">
        <f>IF(AND($Q2=0,$V2=1),2,1)</f>
        <v>1</v>
      </c>
      <c r="AN2" s="4">
        <f>IF(AND($Q2=0,$V2=2),2,1)</f>
        <v>2</v>
      </c>
      <c r="AO2" s="4">
        <f>IF(AND($Q2=1,$R2=1,$V2=1),2,1)</f>
        <v>1</v>
      </c>
      <c r="AP2" s="4">
        <f>IF(AND($Q2=1,$R2=2,$V2=2),2,1)</f>
        <v>1</v>
      </c>
      <c r="AQ2" s="4">
        <f>IF(AND($Q2=1,$R2=1,$V2=2),2,1)</f>
        <v>1</v>
      </c>
      <c r="AR2" s="4">
        <f>IF(AND($Q2=1,$R2=2,$V2=1),2,1)</f>
        <v>1</v>
      </c>
    </row>
    <row r="3" spans="1:44">
      <c r="A3" s="4">
        <v>0</v>
      </c>
      <c r="B3" s="4">
        <f>transform!A14</f>
        <v>2</v>
      </c>
      <c r="C3" s="4">
        <f>transform!B14</f>
        <v>1</v>
      </c>
      <c r="D3" s="4">
        <f>transform!C14</f>
        <v>6</v>
      </c>
      <c r="E3" s="7">
        <f>transform!D14</f>
        <v>40883</v>
      </c>
      <c r="F3" s="4">
        <f>transform!E14</f>
        <v>1</v>
      </c>
      <c r="G3" s="4">
        <f>transform!F14</f>
        <v>1987</v>
      </c>
      <c r="H3" s="8">
        <f>transform!G14</f>
        <v>4</v>
      </c>
      <c r="I3" s="4">
        <f>transform!H14</f>
        <v>2</v>
      </c>
      <c r="J3" s="4">
        <f>COUNTIF(Raw!AR14:CA14,1)/(COUNTIF(Raw!AR14:CA14,1)+COUNTIF(Raw!AR14:CA14,0))</f>
        <v>0.466666666666667</v>
      </c>
      <c r="K3" s="4">
        <f>transform!CC14</f>
        <v>1</v>
      </c>
      <c r="L3" s="4">
        <f>transform!CD14</f>
        <v>1</v>
      </c>
      <c r="M3" s="4">
        <f>transform!CE14</f>
        <v>1</v>
      </c>
      <c r="N3" s="4">
        <f>transform!CF14</f>
        <v>1</v>
      </c>
      <c r="O3" s="4">
        <f>transform!CG14</f>
        <v>1</v>
      </c>
      <c r="P3" s="4">
        <f>transform!CH14</f>
        <v>1</v>
      </c>
      <c r="Q3" s="4">
        <f>transform!CI14</f>
        <v>1</v>
      </c>
      <c r="R3" s="4">
        <f>transform!CJ14</f>
        <v>1</v>
      </c>
      <c r="S3" s="4">
        <f t="shared" ref="S3:S40" si="3">IF(Q3=1,IF(R3=1,1,0),0)</f>
        <v>1</v>
      </c>
      <c r="T3" s="4">
        <f t="shared" ref="T3:T40" si="4">IF(Q3=1,IF(R3=2,1,0),0)</f>
        <v>0</v>
      </c>
      <c r="U3" s="4">
        <f t="shared" si="0"/>
        <v>2</v>
      </c>
      <c r="V3" s="4">
        <f>transform!CK14</f>
        <v>1</v>
      </c>
      <c r="W3" s="4">
        <f>transform!CL14</f>
        <v>1</v>
      </c>
      <c r="X3" s="4">
        <f>transform!CM14</f>
        <v>1</v>
      </c>
      <c r="Y3" s="4">
        <f t="shared" ref="Y3:Y40" si="5">IF(W3=1,IF(X3=1,1,0),0)</f>
        <v>1</v>
      </c>
      <c r="Z3" s="4">
        <f t="shared" ref="Z3:Z40" si="6">IF(W3=1,IF(X3=2,1,0),0)</f>
        <v>0</v>
      </c>
      <c r="AA3" s="4">
        <f t="shared" si="1"/>
        <v>2</v>
      </c>
      <c r="AB3" s="4">
        <f>transform!CN14</f>
        <v>1</v>
      </c>
      <c r="AC3" s="4">
        <f>transform!CO14</f>
        <v>1</v>
      </c>
      <c r="AD3" s="4">
        <f>transform!CP14</f>
        <v>1</v>
      </c>
      <c r="AE3" s="4">
        <f t="shared" ref="AE3:AE40" si="7">IF(AC3=1,IF(AD3=1,1,0),0)</f>
        <v>1</v>
      </c>
      <c r="AF3" s="4">
        <f t="shared" ref="AF3:AF40" si="8">IF(AC3=1,IF(AD3=2,1,0),0)</f>
        <v>0</v>
      </c>
      <c r="AG3" s="4">
        <f t="shared" si="2"/>
        <v>2</v>
      </c>
      <c r="AH3" s="4">
        <f>transform!CQ14</f>
        <v>1</v>
      </c>
      <c r="AI3" s="4">
        <f t="shared" ref="AI3:AI40" si="9">IF(AND($K3=1,$L3=1),2,1)</f>
        <v>2</v>
      </c>
      <c r="AJ3" s="4">
        <f t="shared" ref="AJ3:AJ40" si="10">IF(AND($K3=2,$L3=2),2,1)</f>
        <v>1</v>
      </c>
      <c r="AK3" s="4">
        <f t="shared" ref="AK3:AK40" si="11">IF(AND($K3=1,$L3=2),2,1)</f>
        <v>1</v>
      </c>
      <c r="AL3" s="4">
        <f t="shared" ref="AL3:AL40" si="12">IF(AND($K3=2,$L3=1),2,1)</f>
        <v>1</v>
      </c>
      <c r="AM3" s="4">
        <f t="shared" ref="AM3:AM40" si="13">IF(AND($Q3=0,$V3=1),2,1)</f>
        <v>1</v>
      </c>
      <c r="AN3" s="4">
        <f t="shared" ref="AN3:AN40" si="14">IF(AND($Q3=0,$V3=2),2,1)</f>
        <v>1</v>
      </c>
      <c r="AO3" s="4">
        <f t="shared" ref="AO3:AO40" si="15">IF(AND($Q3=1,$R3=1,$V3=1),2,1)</f>
        <v>2</v>
      </c>
      <c r="AP3" s="4">
        <f t="shared" ref="AP3:AP40" si="16">IF(AND($Q3=1,$R3=2,$V3=2),2,1)</f>
        <v>1</v>
      </c>
      <c r="AQ3" s="4">
        <f t="shared" ref="AQ3:AQ40" si="17">IF(AND($Q3=1,$R3=1,$V3=2),2,1)</f>
        <v>1</v>
      </c>
      <c r="AR3" s="4">
        <f t="shared" ref="AR3:AR40" si="18">IF(AND($Q3=1,$R3=2,$V3=1),2,1)</f>
        <v>1</v>
      </c>
    </row>
    <row r="4" spans="1:44">
      <c r="A4" s="4">
        <v>0</v>
      </c>
      <c r="B4" s="4">
        <f>transform!A29</f>
        <v>4</v>
      </c>
      <c r="C4" s="4">
        <f>transform!B29</f>
        <v>1</v>
      </c>
      <c r="D4" s="4">
        <f>transform!C29</f>
        <v>6</v>
      </c>
      <c r="E4" s="7">
        <f>transform!D29</f>
        <v>40876</v>
      </c>
      <c r="F4" s="8">
        <f>transform!E29</f>
        <v>2</v>
      </c>
      <c r="G4" s="4">
        <f>transform!F29</f>
        <v>1991</v>
      </c>
      <c r="H4" s="8">
        <f>transform!G29</f>
        <v>2</v>
      </c>
      <c r="I4" s="8">
        <f>transform!H29</f>
        <v>1</v>
      </c>
      <c r="J4" s="4">
        <f>COUNTIF(Raw!AR29:CA29,1)/(COUNTIF(Raw!AR29:CA29,1)+COUNTIF(Raw!AR29:CA29,0))</f>
        <v>0.428571428571429</v>
      </c>
      <c r="K4" s="4">
        <f>transform!CC29</f>
        <v>2</v>
      </c>
      <c r="L4" s="4">
        <f>transform!CD29</f>
        <v>1</v>
      </c>
      <c r="M4" s="4">
        <f>transform!CE29</f>
        <v>2</v>
      </c>
      <c r="N4" s="4">
        <f>transform!CF29</f>
        <v>1</v>
      </c>
      <c r="O4" s="4">
        <f>transform!CG29</f>
        <v>2</v>
      </c>
      <c r="P4" s="4">
        <f>transform!CH29</f>
        <v>1</v>
      </c>
      <c r="Q4" s="4">
        <f>transform!CI29</f>
        <v>0</v>
      </c>
      <c r="R4" s="4">
        <f>transform!CJ29</f>
        <v>2</v>
      </c>
      <c r="S4" s="4">
        <f t="shared" si="3"/>
        <v>0</v>
      </c>
      <c r="T4" s="4">
        <f t="shared" si="4"/>
        <v>0</v>
      </c>
      <c r="U4" s="4">
        <f t="shared" si="0"/>
        <v>1</v>
      </c>
      <c r="V4" s="4">
        <f>transform!CK29</f>
        <v>1</v>
      </c>
      <c r="W4" s="4">
        <f>transform!CL29</f>
        <v>0</v>
      </c>
      <c r="X4" s="4">
        <f>transform!CM29</f>
        <v>2</v>
      </c>
      <c r="Y4" s="4">
        <f t="shared" si="5"/>
        <v>0</v>
      </c>
      <c r="Z4" s="4">
        <f t="shared" si="6"/>
        <v>0</v>
      </c>
      <c r="AA4" s="4">
        <f t="shared" si="1"/>
        <v>1</v>
      </c>
      <c r="AB4" s="4">
        <f>transform!CN29</f>
        <v>1</v>
      </c>
      <c r="AC4" s="4">
        <f>transform!CO29</f>
        <v>0</v>
      </c>
      <c r="AD4" s="4">
        <f>transform!CP29</f>
        <v>2</v>
      </c>
      <c r="AE4" s="4">
        <f t="shared" si="7"/>
        <v>0</v>
      </c>
      <c r="AF4" s="4">
        <f t="shared" si="8"/>
        <v>0</v>
      </c>
      <c r="AG4" s="4">
        <f t="shared" si="2"/>
        <v>1</v>
      </c>
      <c r="AH4" s="4">
        <f>transform!CQ29</f>
        <v>1</v>
      </c>
      <c r="AI4" s="4">
        <f t="shared" si="9"/>
        <v>1</v>
      </c>
      <c r="AJ4" s="4">
        <f t="shared" si="10"/>
        <v>1</v>
      </c>
      <c r="AK4" s="4">
        <f t="shared" si="11"/>
        <v>1</v>
      </c>
      <c r="AL4" s="4">
        <f t="shared" si="12"/>
        <v>2</v>
      </c>
      <c r="AM4" s="4">
        <f t="shared" si="13"/>
        <v>2</v>
      </c>
      <c r="AN4" s="4">
        <f t="shared" si="14"/>
        <v>1</v>
      </c>
      <c r="AO4" s="4">
        <f t="shared" si="15"/>
        <v>1</v>
      </c>
      <c r="AP4" s="4">
        <f t="shared" si="16"/>
        <v>1</v>
      </c>
      <c r="AQ4" s="4">
        <f t="shared" si="17"/>
        <v>1</v>
      </c>
      <c r="AR4" s="4">
        <f t="shared" si="18"/>
        <v>1</v>
      </c>
    </row>
    <row r="5" spans="1:44">
      <c r="A5" s="4">
        <v>0</v>
      </c>
      <c r="B5" s="4">
        <f>transform!A5</f>
        <v>1</v>
      </c>
      <c r="C5" s="4">
        <f>transform!B5</f>
        <v>1</v>
      </c>
      <c r="D5" s="4">
        <f>transform!C5</f>
        <v>4</v>
      </c>
      <c r="E5" s="7">
        <f>transform!D5</f>
        <v>40876</v>
      </c>
      <c r="F5" s="4">
        <f>transform!E5</f>
        <v>1</v>
      </c>
      <c r="G5" s="4">
        <f>transform!F5</f>
        <v>1986</v>
      </c>
      <c r="H5" s="8">
        <f>transform!G5</f>
        <v>4</v>
      </c>
      <c r="I5" s="4">
        <f>transform!H5</f>
        <v>2</v>
      </c>
      <c r="J5" s="4">
        <f>COUNTIF(Raw!AR5:CA5,1)/(COUNTIF(Raw!AR5:CA5,1)+COUNTIF(Raw!AR5:CA5,0))</f>
        <v>0.380952380952381</v>
      </c>
      <c r="K5" s="4">
        <f>transform!CC5</f>
        <v>1</v>
      </c>
      <c r="L5" s="4">
        <f>transform!CD5</f>
        <v>1</v>
      </c>
      <c r="M5" s="4">
        <f>transform!CE5</f>
        <v>1</v>
      </c>
      <c r="N5" s="4">
        <f>transform!CF5</f>
        <v>2</v>
      </c>
      <c r="O5" s="4">
        <f>transform!CG5</f>
        <v>1</v>
      </c>
      <c r="P5" s="4">
        <f>transform!CH5</f>
        <v>2</v>
      </c>
      <c r="Q5" s="4">
        <f>transform!CI5</f>
        <v>1</v>
      </c>
      <c r="R5" s="4">
        <f>transform!CJ5</f>
        <v>1</v>
      </c>
      <c r="S5" s="4">
        <f t="shared" si="3"/>
        <v>1</v>
      </c>
      <c r="T5" s="4">
        <f t="shared" si="4"/>
        <v>0</v>
      </c>
      <c r="U5" s="4">
        <f t="shared" si="0"/>
        <v>2</v>
      </c>
      <c r="V5" s="4">
        <f>transform!CK5</f>
        <v>1</v>
      </c>
      <c r="W5" s="4">
        <f>transform!CL5</f>
        <v>1</v>
      </c>
      <c r="X5" s="4">
        <f>transform!CM5</f>
        <v>2</v>
      </c>
      <c r="Y5" s="4">
        <f t="shared" si="5"/>
        <v>0</v>
      </c>
      <c r="Z5" s="4">
        <f t="shared" si="6"/>
        <v>1</v>
      </c>
      <c r="AA5" s="4">
        <f t="shared" si="1"/>
        <v>3</v>
      </c>
      <c r="AB5" s="4">
        <f>transform!CN5</f>
        <v>1</v>
      </c>
      <c r="AC5" s="4">
        <f>transform!CO5</f>
        <v>1</v>
      </c>
      <c r="AD5" s="4">
        <f>transform!CP5</f>
        <v>1</v>
      </c>
      <c r="AE5" s="4">
        <f t="shared" si="7"/>
        <v>1</v>
      </c>
      <c r="AF5" s="4">
        <f t="shared" si="8"/>
        <v>0</v>
      </c>
      <c r="AG5" s="4">
        <f t="shared" si="2"/>
        <v>2</v>
      </c>
      <c r="AH5" s="4">
        <f>transform!CQ5</f>
        <v>2</v>
      </c>
      <c r="AI5" s="4">
        <f t="shared" si="9"/>
        <v>2</v>
      </c>
      <c r="AJ5" s="4">
        <f t="shared" si="10"/>
        <v>1</v>
      </c>
      <c r="AK5" s="4">
        <f t="shared" si="11"/>
        <v>1</v>
      </c>
      <c r="AL5" s="4">
        <f t="shared" si="12"/>
        <v>1</v>
      </c>
      <c r="AM5" s="4">
        <f t="shared" si="13"/>
        <v>1</v>
      </c>
      <c r="AN5" s="4">
        <f t="shared" si="14"/>
        <v>1</v>
      </c>
      <c r="AO5" s="4">
        <f t="shared" si="15"/>
        <v>2</v>
      </c>
      <c r="AP5" s="4">
        <f t="shared" si="16"/>
        <v>1</v>
      </c>
      <c r="AQ5" s="4">
        <f t="shared" si="17"/>
        <v>1</v>
      </c>
      <c r="AR5" s="4">
        <f t="shared" si="18"/>
        <v>1</v>
      </c>
    </row>
    <row r="6" spans="1:44">
      <c r="A6" s="4">
        <v>0</v>
      </c>
      <c r="B6" s="4">
        <f>transform!A22</f>
        <v>3</v>
      </c>
      <c r="C6" s="4">
        <f>transform!B22</f>
        <v>1</v>
      </c>
      <c r="D6" s="4">
        <f>transform!C22</f>
        <v>6</v>
      </c>
      <c r="E6" s="7">
        <f>transform!D22</f>
        <v>40876</v>
      </c>
      <c r="F6" s="8">
        <f>transform!E22</f>
        <v>2</v>
      </c>
      <c r="G6" s="4">
        <f>transform!F22</f>
        <v>1990</v>
      </c>
      <c r="H6" s="8">
        <f>transform!G22</f>
        <v>3</v>
      </c>
      <c r="I6" s="8">
        <f>transform!H22</f>
        <v>1</v>
      </c>
      <c r="J6" s="4">
        <f>COUNTIF(Raw!AR22:CA22,1)/(COUNTIF(Raw!AR22:CA22,1)+COUNTIF(Raw!AR22:CA22,0))</f>
        <v>0.380952380952381</v>
      </c>
      <c r="K6" s="4">
        <f>transform!CC22</f>
        <v>2</v>
      </c>
      <c r="L6" s="4">
        <f>transform!CD22</f>
        <v>2</v>
      </c>
      <c r="M6" s="4">
        <f>transform!CE22</f>
        <v>1</v>
      </c>
      <c r="N6" s="4">
        <f>transform!CF22</f>
        <v>2</v>
      </c>
      <c r="O6" s="4">
        <f>transform!CG22</f>
        <v>1</v>
      </c>
      <c r="P6" s="4">
        <f>transform!CH22</f>
        <v>2</v>
      </c>
      <c r="Q6" s="4">
        <f>transform!CI22</f>
        <v>1</v>
      </c>
      <c r="R6" s="4">
        <f>transform!CJ22</f>
        <v>2</v>
      </c>
      <c r="S6" s="4">
        <f t="shared" si="3"/>
        <v>0</v>
      </c>
      <c r="T6" s="4">
        <f t="shared" si="4"/>
        <v>1</v>
      </c>
      <c r="U6" s="4">
        <f t="shared" si="0"/>
        <v>3</v>
      </c>
      <c r="V6" s="4">
        <f>transform!CK22</f>
        <v>2</v>
      </c>
      <c r="W6" s="4">
        <f>transform!CL22</f>
        <v>0</v>
      </c>
      <c r="X6" s="4">
        <f>transform!CM22</f>
        <v>2</v>
      </c>
      <c r="Y6" s="4">
        <f t="shared" si="5"/>
        <v>0</v>
      </c>
      <c r="Z6" s="4">
        <f t="shared" si="6"/>
        <v>0</v>
      </c>
      <c r="AA6" s="4">
        <f t="shared" si="1"/>
        <v>1</v>
      </c>
      <c r="AB6" s="4">
        <f>transform!CN22</f>
        <v>2</v>
      </c>
      <c r="AC6" s="4">
        <f>transform!CO22</f>
        <v>0</v>
      </c>
      <c r="AD6" s="4">
        <f>transform!CP22</f>
        <v>1</v>
      </c>
      <c r="AE6" s="4">
        <f t="shared" si="7"/>
        <v>0</v>
      </c>
      <c r="AF6" s="4">
        <f t="shared" si="8"/>
        <v>0</v>
      </c>
      <c r="AG6" s="4">
        <f t="shared" si="2"/>
        <v>1</v>
      </c>
      <c r="AH6" s="4">
        <f>transform!CQ22</f>
        <v>2</v>
      </c>
      <c r="AI6" s="4">
        <f t="shared" si="9"/>
        <v>1</v>
      </c>
      <c r="AJ6" s="4">
        <f t="shared" si="10"/>
        <v>2</v>
      </c>
      <c r="AK6" s="4">
        <f t="shared" si="11"/>
        <v>1</v>
      </c>
      <c r="AL6" s="4">
        <f t="shared" si="12"/>
        <v>1</v>
      </c>
      <c r="AM6" s="4">
        <f t="shared" si="13"/>
        <v>1</v>
      </c>
      <c r="AN6" s="4">
        <f t="shared" si="14"/>
        <v>1</v>
      </c>
      <c r="AO6" s="4">
        <f t="shared" si="15"/>
        <v>1</v>
      </c>
      <c r="AP6" s="4">
        <f t="shared" si="16"/>
        <v>2</v>
      </c>
      <c r="AQ6" s="4">
        <f t="shared" si="17"/>
        <v>1</v>
      </c>
      <c r="AR6" s="4">
        <f t="shared" si="18"/>
        <v>1</v>
      </c>
    </row>
    <row r="7" spans="1:44">
      <c r="A7" s="4">
        <v>0</v>
      </c>
      <c r="B7" s="4">
        <f>transform!A27</f>
        <v>4</v>
      </c>
      <c r="C7" s="4">
        <f>transform!B27</f>
        <v>1</v>
      </c>
      <c r="D7" s="4">
        <f>transform!C27</f>
        <v>4</v>
      </c>
      <c r="E7" s="7">
        <f>transform!D27</f>
        <v>40876</v>
      </c>
      <c r="F7" s="8">
        <f>transform!E27</f>
        <v>2</v>
      </c>
      <c r="G7" s="4">
        <f>transform!F27</f>
        <v>1991</v>
      </c>
      <c r="H7" s="8">
        <f>transform!G27</f>
        <v>4</v>
      </c>
      <c r="I7" s="8">
        <f>transform!H27</f>
        <v>1</v>
      </c>
      <c r="J7" s="4">
        <f>COUNTIF(Raw!AR27:CA27,1)/(COUNTIF(Raw!AR27:CA27,1)+COUNTIF(Raw!AR27:CA27,0))</f>
        <v>0.380952380952381</v>
      </c>
      <c r="K7" s="4">
        <f>transform!CC27</f>
        <v>2</v>
      </c>
      <c r="L7" s="4">
        <f>transform!CD27</f>
        <v>2</v>
      </c>
      <c r="M7" s="4">
        <f>transform!CE27</f>
        <v>2</v>
      </c>
      <c r="N7" s="4">
        <f>transform!CF27</f>
        <v>2</v>
      </c>
      <c r="O7" s="4">
        <f>transform!CG27</f>
        <v>2</v>
      </c>
      <c r="P7" s="4">
        <f>transform!CH27</f>
        <v>2</v>
      </c>
      <c r="Q7" s="4">
        <f>transform!CI27</f>
        <v>1</v>
      </c>
      <c r="R7" s="4">
        <f>transform!CJ27</f>
        <v>2</v>
      </c>
      <c r="S7" s="4">
        <f t="shared" si="3"/>
        <v>0</v>
      </c>
      <c r="T7" s="4">
        <f t="shared" si="4"/>
        <v>1</v>
      </c>
      <c r="U7" s="4">
        <f t="shared" si="0"/>
        <v>3</v>
      </c>
      <c r="V7" s="4">
        <f>transform!CK27</f>
        <v>2</v>
      </c>
      <c r="W7" s="4">
        <f>transform!CL27</f>
        <v>1</v>
      </c>
      <c r="X7" s="4">
        <f>transform!CM27</f>
        <v>2</v>
      </c>
      <c r="Y7" s="4">
        <f t="shared" si="5"/>
        <v>0</v>
      </c>
      <c r="Z7" s="4">
        <f t="shared" si="6"/>
        <v>1</v>
      </c>
      <c r="AA7" s="4">
        <f t="shared" si="1"/>
        <v>3</v>
      </c>
      <c r="AB7" s="4">
        <f>transform!CN27</f>
        <v>2</v>
      </c>
      <c r="AC7" s="4">
        <f>transform!CO27</f>
        <v>1</v>
      </c>
      <c r="AD7" s="4">
        <f>transform!CP27</f>
        <v>2</v>
      </c>
      <c r="AE7" s="4">
        <f t="shared" si="7"/>
        <v>0</v>
      </c>
      <c r="AF7" s="4">
        <f t="shared" si="8"/>
        <v>1</v>
      </c>
      <c r="AG7" s="4">
        <f t="shared" si="2"/>
        <v>3</v>
      </c>
      <c r="AH7" s="4">
        <f>transform!CQ27</f>
        <v>2</v>
      </c>
      <c r="AI7" s="4">
        <f t="shared" si="9"/>
        <v>1</v>
      </c>
      <c r="AJ7" s="4">
        <f t="shared" si="10"/>
        <v>2</v>
      </c>
      <c r="AK7" s="4">
        <f t="shared" si="11"/>
        <v>1</v>
      </c>
      <c r="AL7" s="4">
        <f t="shared" si="12"/>
        <v>1</v>
      </c>
      <c r="AM7" s="4">
        <f t="shared" si="13"/>
        <v>1</v>
      </c>
      <c r="AN7" s="4">
        <f t="shared" si="14"/>
        <v>1</v>
      </c>
      <c r="AO7" s="4">
        <f t="shared" si="15"/>
        <v>1</v>
      </c>
      <c r="AP7" s="4">
        <f t="shared" si="16"/>
        <v>2</v>
      </c>
      <c r="AQ7" s="4">
        <f t="shared" si="17"/>
        <v>1</v>
      </c>
      <c r="AR7" s="4">
        <f t="shared" si="18"/>
        <v>1</v>
      </c>
    </row>
    <row r="8" spans="1:44">
      <c r="A8" s="4">
        <v>0</v>
      </c>
      <c r="B8" s="4">
        <f>transform!A56</f>
        <v>3</v>
      </c>
      <c r="C8" s="4">
        <f>transform!B56</f>
        <v>2</v>
      </c>
      <c r="D8" s="4">
        <f>transform!C56</f>
        <v>2</v>
      </c>
      <c r="E8" s="7">
        <f>transform!D56</f>
        <v>40883</v>
      </c>
      <c r="F8" s="4">
        <f>transform!E56</f>
        <v>1</v>
      </c>
      <c r="G8" s="4">
        <f>transform!F56</f>
        <v>1989</v>
      </c>
      <c r="H8" s="8">
        <f>transform!G56</f>
        <v>3</v>
      </c>
      <c r="I8" s="8">
        <f>transform!H56</f>
        <v>1</v>
      </c>
      <c r="J8" s="4">
        <f>COUNTIF(Raw!AR56:CA56,1)/(COUNTIF(Raw!AR56:CA56,1)+COUNTIF(Raw!AR56:CA56,0))</f>
        <v>0.380952380952381</v>
      </c>
      <c r="K8" s="4">
        <f>transform!CC56</f>
        <v>2</v>
      </c>
      <c r="L8" s="4">
        <f>transform!CD56</f>
        <v>1</v>
      </c>
      <c r="M8" s="4">
        <f>transform!CE56</f>
        <v>2</v>
      </c>
      <c r="N8" s="4">
        <f>transform!CF56</f>
        <v>2</v>
      </c>
      <c r="O8" s="4">
        <f>transform!CG56</f>
        <v>2</v>
      </c>
      <c r="P8" s="4">
        <f>transform!CH56</f>
        <v>2</v>
      </c>
      <c r="Q8" s="4">
        <f>transform!CI56</f>
        <v>0</v>
      </c>
      <c r="R8" s="4">
        <f>transform!CJ56</f>
        <v>2</v>
      </c>
      <c r="S8" s="4">
        <f t="shared" si="3"/>
        <v>0</v>
      </c>
      <c r="T8" s="4">
        <f t="shared" si="4"/>
        <v>0</v>
      </c>
      <c r="U8" s="4">
        <f t="shared" si="0"/>
        <v>1</v>
      </c>
      <c r="V8" s="4">
        <f>transform!CK56</f>
        <v>2</v>
      </c>
      <c r="W8" s="4">
        <f>transform!CL56</f>
        <v>0</v>
      </c>
      <c r="X8" s="4">
        <f>transform!CM56</f>
        <v>2</v>
      </c>
      <c r="Y8" s="4">
        <f t="shared" si="5"/>
        <v>0</v>
      </c>
      <c r="Z8" s="4">
        <f t="shared" si="6"/>
        <v>0</v>
      </c>
      <c r="AA8" s="4">
        <f t="shared" si="1"/>
        <v>1</v>
      </c>
      <c r="AB8" s="4">
        <f>transform!CN56</f>
        <v>1</v>
      </c>
      <c r="AC8" s="4">
        <f>transform!CO56</f>
        <v>0</v>
      </c>
      <c r="AD8" s="4">
        <f>transform!CP56</f>
        <v>2</v>
      </c>
      <c r="AE8" s="4">
        <f t="shared" si="7"/>
        <v>0</v>
      </c>
      <c r="AF8" s="4">
        <f t="shared" si="8"/>
        <v>0</v>
      </c>
      <c r="AG8" s="4">
        <f t="shared" si="2"/>
        <v>1</v>
      </c>
      <c r="AH8" s="4">
        <f>transform!CQ56</f>
        <v>1</v>
      </c>
      <c r="AI8" s="4">
        <f t="shared" si="9"/>
        <v>1</v>
      </c>
      <c r="AJ8" s="4">
        <f t="shared" si="10"/>
        <v>1</v>
      </c>
      <c r="AK8" s="4">
        <f t="shared" si="11"/>
        <v>1</v>
      </c>
      <c r="AL8" s="4">
        <f t="shared" si="12"/>
        <v>2</v>
      </c>
      <c r="AM8" s="4">
        <f t="shared" si="13"/>
        <v>1</v>
      </c>
      <c r="AN8" s="4">
        <f t="shared" si="14"/>
        <v>2</v>
      </c>
      <c r="AO8" s="4">
        <f t="shared" si="15"/>
        <v>1</v>
      </c>
      <c r="AP8" s="4">
        <f t="shared" si="16"/>
        <v>1</v>
      </c>
      <c r="AQ8" s="4">
        <f t="shared" si="17"/>
        <v>1</v>
      </c>
      <c r="AR8" s="4">
        <f t="shared" si="18"/>
        <v>1</v>
      </c>
    </row>
    <row r="9" spans="1:44">
      <c r="A9" s="4">
        <v>0</v>
      </c>
      <c r="B9" s="4">
        <f>transform!A60</f>
        <v>3</v>
      </c>
      <c r="C9" s="4">
        <f>transform!B60</f>
        <v>2</v>
      </c>
      <c r="D9" s="4">
        <f>transform!C60</f>
        <v>6</v>
      </c>
      <c r="E9" s="7">
        <f>transform!D60</f>
        <v>40886</v>
      </c>
      <c r="F9" s="4">
        <f>transform!E60</f>
        <v>1</v>
      </c>
      <c r="G9" s="4">
        <f>transform!F60</f>
        <v>1992</v>
      </c>
      <c r="H9" s="8">
        <f>transform!G60</f>
        <v>3</v>
      </c>
      <c r="I9" s="8">
        <f>transform!H60</f>
        <v>1</v>
      </c>
      <c r="J9" s="4">
        <f>COUNTIF(Raw!AR60:CA60,1)/(COUNTIF(Raw!AR60:CA60,1)+COUNTIF(Raw!AR60:CA60,0))</f>
        <v>0.380952380952381</v>
      </c>
      <c r="K9" s="4">
        <f>transform!CC60</f>
        <v>1</v>
      </c>
      <c r="L9" s="4">
        <f>transform!CD60</f>
        <v>1</v>
      </c>
      <c r="M9" s="4">
        <f>transform!CE60</f>
        <v>2</v>
      </c>
      <c r="N9" s="4">
        <f>transform!CF60</f>
        <v>2</v>
      </c>
      <c r="O9" s="4">
        <f>transform!CG60</f>
        <v>1</v>
      </c>
      <c r="P9" s="4">
        <f>transform!CH60</f>
        <v>2</v>
      </c>
      <c r="Q9" s="4">
        <f>transform!CI60</f>
        <v>0</v>
      </c>
      <c r="R9" s="4">
        <f>transform!CJ60</f>
        <v>2</v>
      </c>
      <c r="S9" s="4">
        <f t="shared" si="3"/>
        <v>0</v>
      </c>
      <c r="T9" s="4">
        <f t="shared" si="4"/>
        <v>0</v>
      </c>
      <c r="U9" s="4">
        <f t="shared" si="0"/>
        <v>1</v>
      </c>
      <c r="V9" s="4">
        <f>transform!CK60</f>
        <v>2</v>
      </c>
      <c r="W9" s="4">
        <f>transform!CL60</f>
        <v>0</v>
      </c>
      <c r="X9" s="4">
        <f>transform!CM60</f>
        <v>1</v>
      </c>
      <c r="Y9" s="4">
        <f t="shared" si="5"/>
        <v>0</v>
      </c>
      <c r="Z9" s="4">
        <f t="shared" si="6"/>
        <v>0</v>
      </c>
      <c r="AA9" s="4">
        <f t="shared" si="1"/>
        <v>1</v>
      </c>
      <c r="AB9" s="4">
        <f>transform!CN60</f>
        <v>1</v>
      </c>
      <c r="AC9" s="4">
        <f>transform!CO60</f>
        <v>1</v>
      </c>
      <c r="AD9" s="4">
        <f>transform!CP60</f>
        <v>1</v>
      </c>
      <c r="AE9" s="4">
        <f t="shared" si="7"/>
        <v>1</v>
      </c>
      <c r="AF9" s="4">
        <f t="shared" si="8"/>
        <v>0</v>
      </c>
      <c r="AG9" s="4">
        <f t="shared" si="2"/>
        <v>2</v>
      </c>
      <c r="AH9" s="4">
        <f>transform!CQ60</f>
        <v>2</v>
      </c>
      <c r="AI9" s="4">
        <f t="shared" si="9"/>
        <v>2</v>
      </c>
      <c r="AJ9" s="4">
        <f t="shared" si="10"/>
        <v>1</v>
      </c>
      <c r="AK9" s="4">
        <f t="shared" si="11"/>
        <v>1</v>
      </c>
      <c r="AL9" s="4">
        <f t="shared" si="12"/>
        <v>1</v>
      </c>
      <c r="AM9" s="4">
        <f t="shared" si="13"/>
        <v>1</v>
      </c>
      <c r="AN9" s="4">
        <f t="shared" si="14"/>
        <v>2</v>
      </c>
      <c r="AO9" s="4">
        <f t="shared" si="15"/>
        <v>1</v>
      </c>
      <c r="AP9" s="4">
        <f t="shared" si="16"/>
        <v>1</v>
      </c>
      <c r="AQ9" s="4">
        <f t="shared" si="17"/>
        <v>1</v>
      </c>
      <c r="AR9" s="4">
        <f t="shared" si="18"/>
        <v>1</v>
      </c>
    </row>
    <row r="10" spans="1:44">
      <c r="A10" s="4">
        <v>0</v>
      </c>
      <c r="B10" s="4">
        <f>transform!A9</f>
        <v>1</v>
      </c>
      <c r="C10" s="4">
        <f>transform!B9</f>
        <v>1</v>
      </c>
      <c r="D10" s="4">
        <f>transform!C9</f>
        <v>9</v>
      </c>
      <c r="E10" s="7">
        <f>transform!D9</f>
        <v>40876</v>
      </c>
      <c r="F10" s="4">
        <f>transform!E9</f>
        <v>1</v>
      </c>
      <c r="G10" s="4">
        <f>transform!F9</f>
        <v>1989</v>
      </c>
      <c r="H10" s="8">
        <f>transform!G9</f>
        <v>2</v>
      </c>
      <c r="I10" s="8">
        <f>transform!H9</f>
        <v>1</v>
      </c>
      <c r="J10" s="4">
        <f>COUNTIF(Raw!AR9:CA9,1)/(COUNTIF(Raw!AR9:CA9,1)+COUNTIF(Raw!AR9:CA9,0))</f>
        <v>0.357142857142857</v>
      </c>
      <c r="K10" s="4">
        <f>transform!CC9</f>
        <v>2</v>
      </c>
      <c r="L10" s="4">
        <f>transform!CD9</f>
        <v>2</v>
      </c>
      <c r="M10" s="4">
        <f>transform!CE9</f>
        <v>2</v>
      </c>
      <c r="N10" s="4">
        <f>transform!CF9</f>
        <v>2</v>
      </c>
      <c r="O10" s="4">
        <f>transform!CG9</f>
        <v>2</v>
      </c>
      <c r="P10" s="4">
        <f>transform!CH9</f>
        <v>2</v>
      </c>
      <c r="Q10" s="4">
        <f>transform!CI9</f>
        <v>1</v>
      </c>
      <c r="R10" s="4">
        <f>transform!CJ9</f>
        <v>1</v>
      </c>
      <c r="S10" s="4">
        <f t="shared" si="3"/>
        <v>1</v>
      </c>
      <c r="T10" s="4">
        <f t="shared" si="4"/>
        <v>0</v>
      </c>
      <c r="U10" s="4">
        <f t="shared" si="0"/>
        <v>2</v>
      </c>
      <c r="V10" s="4">
        <f>transform!CK9</f>
        <v>2</v>
      </c>
      <c r="W10" s="4">
        <f>transform!CL9</f>
        <v>1</v>
      </c>
      <c r="X10" s="4">
        <f>transform!CM9</f>
        <v>1</v>
      </c>
      <c r="Y10" s="4">
        <f t="shared" si="5"/>
        <v>1</v>
      </c>
      <c r="Z10" s="4">
        <f t="shared" si="6"/>
        <v>0</v>
      </c>
      <c r="AA10" s="4">
        <f t="shared" si="1"/>
        <v>2</v>
      </c>
      <c r="AB10" s="4">
        <f>transform!CN9</f>
        <v>2</v>
      </c>
      <c r="AC10" s="4">
        <f>transform!CO9</f>
        <v>0</v>
      </c>
      <c r="AD10" s="4">
        <f>transform!CP9</f>
        <v>2</v>
      </c>
      <c r="AE10" s="4">
        <f t="shared" si="7"/>
        <v>0</v>
      </c>
      <c r="AF10" s="4">
        <f t="shared" si="8"/>
        <v>0</v>
      </c>
      <c r="AG10" s="4">
        <f t="shared" si="2"/>
        <v>1</v>
      </c>
      <c r="AH10" s="4">
        <f>transform!CQ9</f>
        <v>2</v>
      </c>
      <c r="AI10" s="4">
        <f t="shared" si="9"/>
        <v>1</v>
      </c>
      <c r="AJ10" s="4">
        <f t="shared" si="10"/>
        <v>2</v>
      </c>
      <c r="AK10" s="4">
        <f t="shared" si="11"/>
        <v>1</v>
      </c>
      <c r="AL10" s="4">
        <f t="shared" si="12"/>
        <v>1</v>
      </c>
      <c r="AM10" s="4">
        <f t="shared" si="13"/>
        <v>1</v>
      </c>
      <c r="AN10" s="4">
        <f t="shared" si="14"/>
        <v>1</v>
      </c>
      <c r="AO10" s="4">
        <f t="shared" si="15"/>
        <v>1</v>
      </c>
      <c r="AP10" s="4">
        <f t="shared" si="16"/>
        <v>1</v>
      </c>
      <c r="AQ10" s="4">
        <f t="shared" si="17"/>
        <v>2</v>
      </c>
      <c r="AR10" s="4">
        <f t="shared" si="18"/>
        <v>1</v>
      </c>
    </row>
    <row r="11" spans="1:44">
      <c r="A11" s="4">
        <v>0</v>
      </c>
      <c r="B11" s="4">
        <f>transform!A8</f>
        <v>1</v>
      </c>
      <c r="C11" s="4">
        <f>transform!B8</f>
        <v>1</v>
      </c>
      <c r="D11" s="4">
        <f>transform!C8</f>
        <v>8</v>
      </c>
      <c r="E11" s="7">
        <f>transform!D8</f>
        <v>40876</v>
      </c>
      <c r="F11" s="4">
        <f>transform!E8</f>
        <v>1</v>
      </c>
      <c r="G11" s="4">
        <f>transform!F8</f>
        <v>1989</v>
      </c>
      <c r="H11" s="8">
        <f>transform!G8</f>
        <v>4</v>
      </c>
      <c r="I11" s="8">
        <f>transform!H8</f>
        <v>1</v>
      </c>
      <c r="J11" s="4">
        <f>COUNTIF(Raw!AR8:CA8,1)/(COUNTIF(Raw!AR8:CA8,1)+COUNTIF(Raw!AR8:CA8,0))</f>
        <v>0.333333333333333</v>
      </c>
      <c r="K11" s="4">
        <f>transform!CC8</f>
        <v>1</v>
      </c>
      <c r="L11" s="4">
        <f>transform!CD8</f>
        <v>1</v>
      </c>
      <c r="M11" s="4">
        <f>transform!CE8</f>
        <v>1</v>
      </c>
      <c r="N11" s="4">
        <f>transform!CF8</f>
        <v>2</v>
      </c>
      <c r="O11" s="4">
        <f>transform!CG8</f>
        <v>1</v>
      </c>
      <c r="P11" s="4">
        <f>transform!CH8</f>
        <v>2</v>
      </c>
      <c r="Q11" s="4">
        <f>transform!CI8</f>
        <v>1</v>
      </c>
      <c r="R11" s="4">
        <f>transform!CJ8</f>
        <v>1</v>
      </c>
      <c r="S11" s="4">
        <f t="shared" si="3"/>
        <v>1</v>
      </c>
      <c r="T11" s="4">
        <f t="shared" si="4"/>
        <v>0</v>
      </c>
      <c r="U11" s="4">
        <f t="shared" si="0"/>
        <v>2</v>
      </c>
      <c r="V11" s="4">
        <f>transform!CK8</f>
        <v>2</v>
      </c>
      <c r="W11" s="4">
        <f>transform!CL8</f>
        <v>1</v>
      </c>
      <c r="X11" s="4">
        <f>transform!CM8</f>
        <v>1</v>
      </c>
      <c r="Y11" s="4">
        <f t="shared" si="5"/>
        <v>1</v>
      </c>
      <c r="Z11" s="4">
        <f t="shared" si="6"/>
        <v>0</v>
      </c>
      <c r="AA11" s="4">
        <f t="shared" si="1"/>
        <v>2</v>
      </c>
      <c r="AB11" s="4">
        <f>transform!CN8</f>
        <v>2</v>
      </c>
      <c r="AC11" s="4">
        <f>transform!CO8</f>
        <v>0</v>
      </c>
      <c r="AD11" s="4">
        <f>transform!CP8</f>
        <v>1</v>
      </c>
      <c r="AE11" s="4">
        <f t="shared" si="7"/>
        <v>0</v>
      </c>
      <c r="AF11" s="4">
        <f t="shared" si="8"/>
        <v>0</v>
      </c>
      <c r="AG11" s="4">
        <f t="shared" si="2"/>
        <v>1</v>
      </c>
      <c r="AH11" s="4">
        <f>transform!CQ8</f>
        <v>2</v>
      </c>
      <c r="AI11" s="4">
        <f t="shared" si="9"/>
        <v>2</v>
      </c>
      <c r="AJ11" s="4">
        <f t="shared" si="10"/>
        <v>1</v>
      </c>
      <c r="AK11" s="4">
        <f t="shared" si="11"/>
        <v>1</v>
      </c>
      <c r="AL11" s="4">
        <f t="shared" si="12"/>
        <v>1</v>
      </c>
      <c r="AM11" s="4">
        <f t="shared" si="13"/>
        <v>1</v>
      </c>
      <c r="AN11" s="4">
        <f t="shared" si="14"/>
        <v>1</v>
      </c>
      <c r="AO11" s="4">
        <f t="shared" si="15"/>
        <v>1</v>
      </c>
      <c r="AP11" s="4">
        <f t="shared" si="16"/>
        <v>1</v>
      </c>
      <c r="AQ11" s="4">
        <f t="shared" si="17"/>
        <v>2</v>
      </c>
      <c r="AR11" s="4">
        <f t="shared" si="18"/>
        <v>1</v>
      </c>
    </row>
    <row r="12" spans="1:44">
      <c r="A12" s="4">
        <v>0</v>
      </c>
      <c r="B12" s="4">
        <f>transform!A59</f>
        <v>3</v>
      </c>
      <c r="C12" s="4">
        <f>transform!B59</f>
        <v>2</v>
      </c>
      <c r="D12" s="4">
        <f>transform!C59</f>
        <v>5</v>
      </c>
      <c r="E12" s="7">
        <f>transform!D59</f>
        <v>40879</v>
      </c>
      <c r="F12" s="4">
        <f>transform!E59</f>
        <v>1</v>
      </c>
      <c r="G12" s="4">
        <f>transform!F59</f>
        <v>1990</v>
      </c>
      <c r="H12" s="8">
        <f>transform!G59</f>
        <v>2</v>
      </c>
      <c r="I12" s="8">
        <f>transform!H59</f>
        <v>1</v>
      </c>
      <c r="J12" s="4">
        <f>COUNTIF(Raw!AR59:CA59,1)/(COUNTIF(Raw!AR59:CA59,1)+COUNTIF(Raw!AR59:CA59,0))</f>
        <v>0.333333333333333</v>
      </c>
      <c r="K12" s="4">
        <f>transform!CC59</f>
        <v>2</v>
      </c>
      <c r="L12" s="4">
        <f>transform!CD59</f>
        <v>2</v>
      </c>
      <c r="M12" s="4">
        <f>transform!CE59</f>
        <v>2</v>
      </c>
      <c r="N12" s="4">
        <f>transform!CF59</f>
        <v>2</v>
      </c>
      <c r="O12" s="4">
        <f>transform!CG59</f>
        <v>2</v>
      </c>
      <c r="P12" s="4">
        <f>transform!CH59</f>
        <v>2</v>
      </c>
      <c r="Q12" s="4">
        <f>transform!CI59</f>
        <v>1</v>
      </c>
      <c r="R12" s="4">
        <f>transform!CJ59</f>
        <v>2</v>
      </c>
      <c r="S12" s="4">
        <f t="shared" si="3"/>
        <v>0</v>
      </c>
      <c r="T12" s="4">
        <f t="shared" si="4"/>
        <v>1</v>
      </c>
      <c r="U12" s="4">
        <f t="shared" si="0"/>
        <v>3</v>
      </c>
      <c r="V12" s="4">
        <f>transform!CK59</f>
        <v>2</v>
      </c>
      <c r="W12" s="4">
        <f>transform!CL59</f>
        <v>1</v>
      </c>
      <c r="X12" s="4">
        <f>transform!CM59</f>
        <v>2</v>
      </c>
      <c r="Y12" s="4">
        <f t="shared" si="5"/>
        <v>0</v>
      </c>
      <c r="Z12" s="4">
        <f t="shared" si="6"/>
        <v>1</v>
      </c>
      <c r="AA12" s="4">
        <f t="shared" si="1"/>
        <v>3</v>
      </c>
      <c r="AB12" s="4">
        <f>transform!CN59</f>
        <v>2</v>
      </c>
      <c r="AC12" s="4">
        <f>transform!CO59</f>
        <v>1</v>
      </c>
      <c r="AD12" s="4">
        <f>transform!CP59</f>
        <v>2</v>
      </c>
      <c r="AE12" s="4">
        <f t="shared" si="7"/>
        <v>0</v>
      </c>
      <c r="AF12" s="4">
        <f t="shared" si="8"/>
        <v>1</v>
      </c>
      <c r="AG12" s="4">
        <f t="shared" si="2"/>
        <v>3</v>
      </c>
      <c r="AH12" s="4">
        <f>transform!CQ59</f>
        <v>2</v>
      </c>
      <c r="AI12" s="4">
        <f t="shared" si="9"/>
        <v>1</v>
      </c>
      <c r="AJ12" s="4">
        <f t="shared" si="10"/>
        <v>2</v>
      </c>
      <c r="AK12" s="4">
        <f t="shared" si="11"/>
        <v>1</v>
      </c>
      <c r="AL12" s="4">
        <f t="shared" si="12"/>
        <v>1</v>
      </c>
      <c r="AM12" s="4">
        <f t="shared" si="13"/>
        <v>1</v>
      </c>
      <c r="AN12" s="4">
        <f t="shared" si="14"/>
        <v>1</v>
      </c>
      <c r="AO12" s="4">
        <f t="shared" si="15"/>
        <v>1</v>
      </c>
      <c r="AP12" s="4">
        <f t="shared" si="16"/>
        <v>2</v>
      </c>
      <c r="AQ12" s="4">
        <f t="shared" si="17"/>
        <v>1</v>
      </c>
      <c r="AR12" s="4">
        <f t="shared" si="18"/>
        <v>1</v>
      </c>
    </row>
    <row r="13" spans="1:44">
      <c r="A13" s="4">
        <v>0</v>
      </c>
      <c r="B13" s="4">
        <f>transform!A17</f>
        <v>3</v>
      </c>
      <c r="C13" s="4">
        <f>transform!B17</f>
        <v>1</v>
      </c>
      <c r="D13" s="4">
        <f>transform!C17</f>
        <v>1</v>
      </c>
      <c r="E13" s="7">
        <f>transform!D17</f>
        <v>40876</v>
      </c>
      <c r="F13" s="8">
        <f>transform!E17</f>
        <v>2</v>
      </c>
      <c r="G13" s="4">
        <f>transform!F17</f>
        <v>1988</v>
      </c>
      <c r="H13" s="8">
        <f>transform!G17</f>
        <v>3</v>
      </c>
      <c r="I13" s="8">
        <f>transform!H17</f>
        <v>1</v>
      </c>
      <c r="J13" s="4">
        <f>COUNTIF(Raw!AR17:CA17,1)/(COUNTIF(Raw!AR17:CA17,1)+COUNTIF(Raw!AR17:CA17,0))</f>
        <v>0.285714285714286</v>
      </c>
      <c r="K13" s="4">
        <f>transform!CC17</f>
        <v>1</v>
      </c>
      <c r="L13" s="4">
        <f>transform!CD17</f>
        <v>2</v>
      </c>
      <c r="M13" s="4">
        <f>transform!CE17</f>
        <v>2</v>
      </c>
      <c r="N13" s="4">
        <f>transform!CF17</f>
        <v>2</v>
      </c>
      <c r="O13" s="4">
        <f>transform!CG17</f>
        <v>2</v>
      </c>
      <c r="P13" s="4">
        <f>transform!CH17</f>
        <v>2</v>
      </c>
      <c r="Q13" s="4">
        <f>transform!CI17</f>
        <v>0</v>
      </c>
      <c r="R13" s="4">
        <f>transform!CJ17</f>
        <v>2</v>
      </c>
      <c r="S13" s="4">
        <f t="shared" si="3"/>
        <v>0</v>
      </c>
      <c r="T13" s="4">
        <f t="shared" si="4"/>
        <v>0</v>
      </c>
      <c r="U13" s="4">
        <f t="shared" si="0"/>
        <v>1</v>
      </c>
      <c r="V13" s="4">
        <f>transform!CK17</f>
        <v>2</v>
      </c>
      <c r="W13" s="4">
        <f>transform!CL17</f>
        <v>0</v>
      </c>
      <c r="X13" s="4">
        <f>transform!CM17</f>
        <v>2</v>
      </c>
      <c r="Y13" s="4">
        <f t="shared" si="5"/>
        <v>0</v>
      </c>
      <c r="Z13" s="4">
        <f t="shared" si="6"/>
        <v>0</v>
      </c>
      <c r="AA13" s="4">
        <f t="shared" si="1"/>
        <v>1</v>
      </c>
      <c r="AB13" s="4">
        <f>transform!CN17</f>
        <v>2</v>
      </c>
      <c r="AC13" s="4">
        <f>transform!CO17</f>
        <v>1</v>
      </c>
      <c r="AD13" s="4">
        <f>transform!CP17</f>
        <v>1</v>
      </c>
      <c r="AE13" s="4">
        <f t="shared" si="7"/>
        <v>1</v>
      </c>
      <c r="AF13" s="4">
        <f t="shared" si="8"/>
        <v>0</v>
      </c>
      <c r="AG13" s="4">
        <f t="shared" si="2"/>
        <v>2</v>
      </c>
      <c r="AH13" s="4">
        <f>transform!CQ17</f>
        <v>1</v>
      </c>
      <c r="AI13" s="4">
        <f t="shared" si="9"/>
        <v>1</v>
      </c>
      <c r="AJ13" s="4">
        <f t="shared" si="10"/>
        <v>1</v>
      </c>
      <c r="AK13" s="4">
        <f t="shared" si="11"/>
        <v>2</v>
      </c>
      <c r="AL13" s="4">
        <f t="shared" si="12"/>
        <v>1</v>
      </c>
      <c r="AM13" s="4">
        <f t="shared" si="13"/>
        <v>1</v>
      </c>
      <c r="AN13" s="4">
        <f t="shared" si="14"/>
        <v>2</v>
      </c>
      <c r="AO13" s="4">
        <f t="shared" si="15"/>
        <v>1</v>
      </c>
      <c r="AP13" s="4">
        <f t="shared" si="16"/>
        <v>1</v>
      </c>
      <c r="AQ13" s="4">
        <f t="shared" si="17"/>
        <v>1</v>
      </c>
      <c r="AR13" s="4">
        <f t="shared" si="18"/>
        <v>1</v>
      </c>
    </row>
    <row r="14" spans="1:44">
      <c r="A14" s="4">
        <v>0</v>
      </c>
      <c r="B14" s="4">
        <f>transform!A19</f>
        <v>3</v>
      </c>
      <c r="C14" s="4">
        <f>transform!B19</f>
        <v>1</v>
      </c>
      <c r="D14" s="4">
        <f>transform!C19</f>
        <v>3</v>
      </c>
      <c r="E14" s="7">
        <f>transform!D19</f>
        <v>40876</v>
      </c>
      <c r="F14" s="8">
        <f>transform!E19</f>
        <v>2</v>
      </c>
      <c r="G14" s="4">
        <f>transform!F19</f>
        <v>1990</v>
      </c>
      <c r="H14" s="8">
        <f>transform!G19</f>
        <v>3</v>
      </c>
      <c r="I14" s="8">
        <f>transform!H19</f>
        <v>1</v>
      </c>
      <c r="J14" s="4">
        <f>COUNTIF(Raw!AR19:CA19,1)/(COUNTIF(Raw!AR19:CA19,1)+COUNTIF(Raw!AR19:CA19,0))</f>
        <v>0.285714285714286</v>
      </c>
      <c r="K14" s="4">
        <f>transform!CC19</f>
        <v>2</v>
      </c>
      <c r="L14" s="4">
        <f>transform!CD19</f>
        <v>2</v>
      </c>
      <c r="M14" s="4">
        <f>transform!CE19</f>
        <v>1</v>
      </c>
      <c r="N14" s="4">
        <f>transform!CF19</f>
        <v>2</v>
      </c>
      <c r="O14" s="4">
        <f>transform!CG19</f>
        <v>1</v>
      </c>
      <c r="P14" s="4">
        <f>transform!CH19</f>
        <v>2</v>
      </c>
      <c r="Q14" s="4">
        <f>transform!CI19</f>
        <v>1</v>
      </c>
      <c r="R14" s="4">
        <f>transform!CJ19</f>
        <v>1</v>
      </c>
      <c r="S14" s="4">
        <f t="shared" si="3"/>
        <v>1</v>
      </c>
      <c r="T14" s="4">
        <f t="shared" si="4"/>
        <v>0</v>
      </c>
      <c r="U14" s="4">
        <f t="shared" si="0"/>
        <v>2</v>
      </c>
      <c r="V14" s="4">
        <f>transform!CK19</f>
        <v>1</v>
      </c>
      <c r="W14" s="4">
        <f>transform!CL19</f>
        <v>1</v>
      </c>
      <c r="X14" s="4">
        <f>transform!CM19</f>
        <v>2</v>
      </c>
      <c r="Y14" s="4">
        <f t="shared" si="5"/>
        <v>0</v>
      </c>
      <c r="Z14" s="4">
        <f t="shared" si="6"/>
        <v>1</v>
      </c>
      <c r="AA14" s="4">
        <f t="shared" si="1"/>
        <v>3</v>
      </c>
      <c r="AB14" s="4">
        <f>transform!CN19</f>
        <v>2</v>
      </c>
      <c r="AC14" s="4">
        <f>transform!CO19</f>
        <v>0</v>
      </c>
      <c r="AD14" s="4">
        <f>transform!CP19</f>
        <v>1</v>
      </c>
      <c r="AE14" s="4">
        <f t="shared" si="7"/>
        <v>0</v>
      </c>
      <c r="AF14" s="4">
        <f t="shared" si="8"/>
        <v>0</v>
      </c>
      <c r="AG14" s="4">
        <f t="shared" si="2"/>
        <v>1</v>
      </c>
      <c r="AH14" s="4">
        <f>transform!CQ19</f>
        <v>2</v>
      </c>
      <c r="AI14" s="4">
        <f t="shared" si="9"/>
        <v>1</v>
      </c>
      <c r="AJ14" s="4">
        <f t="shared" si="10"/>
        <v>2</v>
      </c>
      <c r="AK14" s="4">
        <f t="shared" si="11"/>
        <v>1</v>
      </c>
      <c r="AL14" s="4">
        <f t="shared" si="12"/>
        <v>1</v>
      </c>
      <c r="AM14" s="4">
        <f t="shared" si="13"/>
        <v>1</v>
      </c>
      <c r="AN14" s="4">
        <f t="shared" si="14"/>
        <v>1</v>
      </c>
      <c r="AO14" s="4">
        <f t="shared" si="15"/>
        <v>2</v>
      </c>
      <c r="AP14" s="4">
        <f t="shared" si="16"/>
        <v>1</v>
      </c>
      <c r="AQ14" s="4">
        <f t="shared" si="17"/>
        <v>1</v>
      </c>
      <c r="AR14" s="4">
        <f t="shared" si="18"/>
        <v>1</v>
      </c>
    </row>
    <row r="15" spans="1:44">
      <c r="A15" s="4">
        <v>0</v>
      </c>
      <c r="B15" s="4">
        <f>transform!A12</f>
        <v>2</v>
      </c>
      <c r="C15" s="4">
        <f>transform!B12</f>
        <v>1</v>
      </c>
      <c r="D15" s="4">
        <f>transform!C12</f>
        <v>4</v>
      </c>
      <c r="E15" s="7">
        <f>transform!D12</f>
        <v>40876</v>
      </c>
      <c r="F15" s="4">
        <f>transform!E12</f>
        <v>1</v>
      </c>
      <c r="G15" s="4">
        <f>transform!F12</f>
        <v>1985</v>
      </c>
      <c r="H15" s="8">
        <f>transform!G12</f>
        <v>4</v>
      </c>
      <c r="I15" s="8">
        <f>transform!H12</f>
        <v>1</v>
      </c>
      <c r="J15" s="4">
        <f>COUNTIF(Raw!AR12:CA12,1)/(COUNTIF(Raw!AR12:CA12,1)+COUNTIF(Raw!AR12:CA12,0))</f>
        <v>0.25</v>
      </c>
      <c r="K15" s="4">
        <f>transform!CC12</f>
        <v>2</v>
      </c>
      <c r="L15" s="4">
        <f>transform!CD12</f>
        <v>2</v>
      </c>
      <c r="M15" s="4">
        <f>transform!CE12</f>
        <v>2</v>
      </c>
      <c r="N15" s="4">
        <f>transform!CF12</f>
        <v>1</v>
      </c>
      <c r="O15" s="4">
        <f>transform!CG12</f>
        <v>1</v>
      </c>
      <c r="P15" s="4">
        <f>transform!CH12</f>
        <v>2</v>
      </c>
      <c r="Q15" s="4">
        <f>transform!CI12</f>
        <v>1</v>
      </c>
      <c r="R15" s="4">
        <f>transform!CJ12</f>
        <v>2</v>
      </c>
      <c r="S15" s="4">
        <f t="shared" si="3"/>
        <v>0</v>
      </c>
      <c r="T15" s="4">
        <f t="shared" si="4"/>
        <v>1</v>
      </c>
      <c r="U15" s="4">
        <f t="shared" si="0"/>
        <v>3</v>
      </c>
      <c r="V15" s="4">
        <f>transform!CK12</f>
        <v>2</v>
      </c>
      <c r="W15" s="4">
        <f>transform!CL12</f>
        <v>1</v>
      </c>
      <c r="X15" s="4">
        <f>transform!CM12</f>
        <v>2</v>
      </c>
      <c r="Y15" s="4">
        <f t="shared" si="5"/>
        <v>0</v>
      </c>
      <c r="Z15" s="4">
        <f t="shared" si="6"/>
        <v>1</v>
      </c>
      <c r="AA15" s="4">
        <f t="shared" si="1"/>
        <v>3</v>
      </c>
      <c r="AB15" s="4">
        <f>transform!CN12</f>
        <v>2</v>
      </c>
      <c r="AC15" s="4">
        <f>transform!CO12</f>
        <v>1</v>
      </c>
      <c r="AD15" s="4">
        <f>transform!CP12</f>
        <v>1</v>
      </c>
      <c r="AE15" s="4">
        <f t="shared" si="7"/>
        <v>1</v>
      </c>
      <c r="AF15" s="4">
        <f t="shared" si="8"/>
        <v>0</v>
      </c>
      <c r="AG15" s="4">
        <f t="shared" si="2"/>
        <v>2</v>
      </c>
      <c r="AH15" s="4">
        <f>transform!CQ12</f>
        <v>2</v>
      </c>
      <c r="AI15" s="4">
        <f t="shared" si="9"/>
        <v>1</v>
      </c>
      <c r="AJ15" s="4">
        <f t="shared" si="10"/>
        <v>2</v>
      </c>
      <c r="AK15" s="4">
        <f t="shared" si="11"/>
        <v>1</v>
      </c>
      <c r="AL15" s="4">
        <f t="shared" si="12"/>
        <v>1</v>
      </c>
      <c r="AM15" s="4">
        <f t="shared" si="13"/>
        <v>1</v>
      </c>
      <c r="AN15" s="4">
        <f t="shared" si="14"/>
        <v>1</v>
      </c>
      <c r="AO15" s="4">
        <f t="shared" si="15"/>
        <v>1</v>
      </c>
      <c r="AP15" s="4">
        <f t="shared" si="16"/>
        <v>2</v>
      </c>
      <c r="AQ15" s="4">
        <f t="shared" si="17"/>
        <v>1</v>
      </c>
      <c r="AR15" s="4">
        <f t="shared" si="18"/>
        <v>1</v>
      </c>
    </row>
    <row r="16" spans="1:44">
      <c r="A16" s="4">
        <v>0</v>
      </c>
      <c r="B16" s="4">
        <f>transform!A28</f>
        <v>4</v>
      </c>
      <c r="C16" s="4">
        <f>transform!B28</f>
        <v>1</v>
      </c>
      <c r="D16" s="4">
        <f>transform!C28</f>
        <v>5</v>
      </c>
      <c r="E16" s="7">
        <f>transform!D28</f>
        <v>40876</v>
      </c>
      <c r="F16" s="8">
        <f>transform!E28</f>
        <v>2</v>
      </c>
      <c r="G16" s="4">
        <f>transform!F28</f>
        <v>1993</v>
      </c>
      <c r="H16" s="8">
        <f>transform!G28</f>
        <v>4</v>
      </c>
      <c r="I16" s="4">
        <f>transform!H28</f>
        <v>2</v>
      </c>
      <c r="J16" s="4">
        <f>COUNTIF(Raw!AR28:CA28,1)/(COUNTIF(Raw!AR28:CA28,1)+COUNTIF(Raw!AR28:CA28,0))</f>
        <v>0.238095238095238</v>
      </c>
      <c r="K16" s="4">
        <f>transform!CC28</f>
        <v>1</v>
      </c>
      <c r="L16" s="4">
        <f>transform!CD28</f>
        <v>2</v>
      </c>
      <c r="M16" s="4">
        <f>transform!CE28</f>
        <v>1</v>
      </c>
      <c r="N16" s="4">
        <f>transform!CF28</f>
        <v>2</v>
      </c>
      <c r="O16" s="4">
        <f>transform!CG28</f>
        <v>1</v>
      </c>
      <c r="P16" s="4">
        <f>transform!CH28</f>
        <v>2</v>
      </c>
      <c r="Q16" s="4">
        <f>transform!CI28</f>
        <v>0</v>
      </c>
      <c r="R16" s="4">
        <f>transform!CJ28</f>
        <v>1</v>
      </c>
      <c r="S16" s="4">
        <f t="shared" si="3"/>
        <v>0</v>
      </c>
      <c r="T16" s="4">
        <f t="shared" si="4"/>
        <v>0</v>
      </c>
      <c r="U16" s="4">
        <f t="shared" si="0"/>
        <v>1</v>
      </c>
      <c r="V16" s="4">
        <f>transform!CK28</f>
        <v>1</v>
      </c>
      <c r="W16" s="4">
        <f>transform!CL28</f>
        <v>0</v>
      </c>
      <c r="X16" s="4">
        <f>transform!CM28</f>
        <v>1</v>
      </c>
      <c r="Y16" s="4">
        <f t="shared" si="5"/>
        <v>0</v>
      </c>
      <c r="Z16" s="4">
        <f t="shared" si="6"/>
        <v>0</v>
      </c>
      <c r="AA16" s="4">
        <f t="shared" si="1"/>
        <v>1</v>
      </c>
      <c r="AB16" s="4">
        <f>transform!CN28</f>
        <v>1</v>
      </c>
      <c r="AC16" s="4">
        <f>transform!CO28</f>
        <v>0</v>
      </c>
      <c r="AD16" s="4">
        <f>transform!CP28</f>
        <v>1</v>
      </c>
      <c r="AE16" s="4">
        <f t="shared" si="7"/>
        <v>0</v>
      </c>
      <c r="AF16" s="4">
        <f t="shared" si="8"/>
        <v>0</v>
      </c>
      <c r="AG16" s="4">
        <f t="shared" si="2"/>
        <v>1</v>
      </c>
      <c r="AH16" s="4">
        <f>transform!CQ28</f>
        <v>2</v>
      </c>
      <c r="AI16" s="4">
        <f t="shared" si="9"/>
        <v>1</v>
      </c>
      <c r="AJ16" s="4">
        <f t="shared" si="10"/>
        <v>1</v>
      </c>
      <c r="AK16" s="4">
        <f t="shared" si="11"/>
        <v>2</v>
      </c>
      <c r="AL16" s="4">
        <f t="shared" si="12"/>
        <v>1</v>
      </c>
      <c r="AM16" s="4">
        <f t="shared" si="13"/>
        <v>2</v>
      </c>
      <c r="AN16" s="4">
        <f t="shared" si="14"/>
        <v>1</v>
      </c>
      <c r="AO16" s="4">
        <f t="shared" si="15"/>
        <v>1</v>
      </c>
      <c r="AP16" s="4">
        <f t="shared" si="16"/>
        <v>1</v>
      </c>
      <c r="AQ16" s="4">
        <f t="shared" si="17"/>
        <v>1</v>
      </c>
      <c r="AR16" s="4">
        <f t="shared" si="18"/>
        <v>1</v>
      </c>
    </row>
    <row r="17" spans="1:44">
      <c r="A17" s="4">
        <v>0</v>
      </c>
      <c r="B17" s="4">
        <f>transform!A42</f>
        <v>1</v>
      </c>
      <c r="C17" s="4">
        <f>transform!B42</f>
        <v>2</v>
      </c>
      <c r="D17" s="4">
        <f>transform!C42</f>
        <v>5</v>
      </c>
      <c r="E17" s="7">
        <f>transform!D42</f>
        <v>40883</v>
      </c>
      <c r="F17" s="4">
        <f>transform!E42</f>
        <v>1</v>
      </c>
      <c r="G17" s="4">
        <f>transform!F42</f>
        <v>1990</v>
      </c>
      <c r="H17" s="8">
        <f>transform!G42</f>
        <v>3</v>
      </c>
      <c r="I17" s="4">
        <f>transform!H42</f>
        <v>2</v>
      </c>
      <c r="J17" s="4">
        <f>COUNTIF(Raw!AR42:CA42,1)/(COUNTIF(Raw!AR42:CA42,1)+COUNTIF(Raw!AR42:CA42,0))</f>
        <v>0.238095238095238</v>
      </c>
      <c r="K17" s="4">
        <f>transform!CC42</f>
        <v>2</v>
      </c>
      <c r="L17" s="4">
        <f>transform!CD42</f>
        <v>2</v>
      </c>
      <c r="M17" s="4">
        <f>transform!CE42</f>
        <v>2</v>
      </c>
      <c r="N17" s="4">
        <f>transform!CF42</f>
        <v>2</v>
      </c>
      <c r="O17" s="4">
        <f>transform!CG42</f>
        <v>2</v>
      </c>
      <c r="P17" s="4">
        <f>transform!CH42</f>
        <v>2</v>
      </c>
      <c r="Q17" s="4">
        <f>transform!CI42</f>
        <v>1</v>
      </c>
      <c r="R17" s="4">
        <f>transform!CJ42</f>
        <v>2</v>
      </c>
      <c r="S17" s="4">
        <f t="shared" si="3"/>
        <v>0</v>
      </c>
      <c r="T17" s="4">
        <f t="shared" si="4"/>
        <v>1</v>
      </c>
      <c r="U17" s="4">
        <f t="shared" si="0"/>
        <v>3</v>
      </c>
      <c r="V17" s="4">
        <f>transform!CK42</f>
        <v>2</v>
      </c>
      <c r="W17" s="4">
        <f>transform!CL42</f>
        <v>1</v>
      </c>
      <c r="X17" s="4">
        <f>transform!CM42</f>
        <v>2</v>
      </c>
      <c r="Y17" s="4">
        <f t="shared" si="5"/>
        <v>0</v>
      </c>
      <c r="Z17" s="4">
        <f t="shared" si="6"/>
        <v>1</v>
      </c>
      <c r="AA17" s="4">
        <f t="shared" si="1"/>
        <v>3</v>
      </c>
      <c r="AB17" s="4">
        <f>transform!CN42</f>
        <v>2</v>
      </c>
      <c r="AC17" s="4">
        <f>transform!CO42</f>
        <v>1</v>
      </c>
      <c r="AD17" s="4">
        <f>transform!CP42</f>
        <v>2</v>
      </c>
      <c r="AE17" s="4">
        <f t="shared" si="7"/>
        <v>0</v>
      </c>
      <c r="AF17" s="4">
        <f t="shared" si="8"/>
        <v>1</v>
      </c>
      <c r="AG17" s="4">
        <f t="shared" si="2"/>
        <v>3</v>
      </c>
      <c r="AH17" s="4">
        <f>transform!CQ42</f>
        <v>2</v>
      </c>
      <c r="AI17" s="4">
        <f t="shared" si="9"/>
        <v>1</v>
      </c>
      <c r="AJ17" s="4">
        <f t="shared" si="10"/>
        <v>2</v>
      </c>
      <c r="AK17" s="4">
        <f t="shared" si="11"/>
        <v>1</v>
      </c>
      <c r="AL17" s="4">
        <f t="shared" si="12"/>
        <v>1</v>
      </c>
      <c r="AM17" s="4">
        <f t="shared" si="13"/>
        <v>1</v>
      </c>
      <c r="AN17" s="4">
        <f t="shared" si="14"/>
        <v>1</v>
      </c>
      <c r="AO17" s="4">
        <f t="shared" si="15"/>
        <v>1</v>
      </c>
      <c r="AP17" s="4">
        <f t="shared" si="16"/>
        <v>2</v>
      </c>
      <c r="AQ17" s="4">
        <f t="shared" si="17"/>
        <v>1</v>
      </c>
      <c r="AR17" s="4">
        <f t="shared" si="18"/>
        <v>1</v>
      </c>
    </row>
    <row r="18" spans="1:44">
      <c r="A18" s="4">
        <v>0</v>
      </c>
      <c r="B18" s="4">
        <f>transform!A44</f>
        <v>1</v>
      </c>
      <c r="C18" s="4">
        <f>transform!B44</f>
        <v>2</v>
      </c>
      <c r="D18" s="4">
        <f>transform!C44</f>
        <v>7</v>
      </c>
      <c r="E18" s="7">
        <f>transform!D44</f>
        <v>40876</v>
      </c>
      <c r="F18" s="4">
        <f>transform!E44</f>
        <v>1</v>
      </c>
      <c r="G18" s="4">
        <f>transform!F44</f>
        <v>1992</v>
      </c>
      <c r="H18" s="8">
        <f>transform!G44</f>
        <v>6</v>
      </c>
      <c r="I18" s="4">
        <f>transform!H44</f>
        <v>2</v>
      </c>
      <c r="J18" s="4">
        <f>COUNTIF(Raw!AR44:CA44,1)/(COUNTIF(Raw!AR44:CA44,1)+COUNTIF(Raw!AR44:CA44,0))</f>
        <v>0.238095238095238</v>
      </c>
      <c r="K18" s="4">
        <f>transform!CC44</f>
        <v>2</v>
      </c>
      <c r="L18" s="4">
        <f>transform!CD44</f>
        <v>2</v>
      </c>
      <c r="M18" s="4">
        <f>transform!CE44</f>
        <v>1</v>
      </c>
      <c r="N18" s="4">
        <f>transform!CF44</f>
        <v>1</v>
      </c>
      <c r="O18" s="4">
        <f>transform!CG44</f>
        <v>2</v>
      </c>
      <c r="P18" s="4">
        <f>transform!CH44</f>
        <v>2</v>
      </c>
      <c r="Q18" s="4">
        <f>transform!CI44</f>
        <v>1</v>
      </c>
      <c r="R18" s="4">
        <f>transform!CJ44</f>
        <v>2</v>
      </c>
      <c r="S18" s="4">
        <f t="shared" si="3"/>
        <v>0</v>
      </c>
      <c r="T18" s="4">
        <f t="shared" si="4"/>
        <v>1</v>
      </c>
      <c r="U18" s="4">
        <f t="shared" si="0"/>
        <v>3</v>
      </c>
      <c r="V18" s="4">
        <f>transform!CK44</f>
        <v>1</v>
      </c>
      <c r="W18" s="4">
        <f>transform!CL44</f>
        <v>1</v>
      </c>
      <c r="X18" s="4">
        <f>transform!CM44</f>
        <v>1</v>
      </c>
      <c r="Y18" s="4">
        <f t="shared" si="5"/>
        <v>1</v>
      </c>
      <c r="Z18" s="4">
        <f t="shared" si="6"/>
        <v>0</v>
      </c>
      <c r="AA18" s="4">
        <f t="shared" si="1"/>
        <v>2</v>
      </c>
      <c r="AB18" s="4">
        <f>transform!CN44</f>
        <v>2</v>
      </c>
      <c r="AC18" s="4">
        <f>transform!CO44</f>
        <v>1</v>
      </c>
      <c r="AD18" s="4">
        <f>transform!CP44</f>
        <v>2</v>
      </c>
      <c r="AE18" s="4">
        <f t="shared" si="7"/>
        <v>0</v>
      </c>
      <c r="AF18" s="4">
        <f t="shared" si="8"/>
        <v>1</v>
      </c>
      <c r="AG18" s="4">
        <f t="shared" si="2"/>
        <v>3</v>
      </c>
      <c r="AH18" s="4">
        <f>transform!CQ44</f>
        <v>1</v>
      </c>
      <c r="AI18" s="4">
        <f t="shared" si="9"/>
        <v>1</v>
      </c>
      <c r="AJ18" s="4">
        <f t="shared" si="10"/>
        <v>2</v>
      </c>
      <c r="AK18" s="4">
        <f t="shared" si="11"/>
        <v>1</v>
      </c>
      <c r="AL18" s="4">
        <f t="shared" si="12"/>
        <v>1</v>
      </c>
      <c r="AM18" s="4">
        <f t="shared" si="13"/>
        <v>1</v>
      </c>
      <c r="AN18" s="4">
        <f t="shared" si="14"/>
        <v>1</v>
      </c>
      <c r="AO18" s="4">
        <f t="shared" si="15"/>
        <v>1</v>
      </c>
      <c r="AP18" s="4">
        <f t="shared" si="16"/>
        <v>1</v>
      </c>
      <c r="AQ18" s="4">
        <f t="shared" si="17"/>
        <v>1</v>
      </c>
      <c r="AR18" s="4">
        <f t="shared" si="18"/>
        <v>2</v>
      </c>
    </row>
    <row r="19" spans="1:44">
      <c r="A19" s="4">
        <v>0</v>
      </c>
      <c r="B19" s="4">
        <f>transform!A3</f>
        <v>1</v>
      </c>
      <c r="C19" s="4">
        <f>transform!B3</f>
        <v>1</v>
      </c>
      <c r="D19" s="4">
        <f>transform!C3</f>
        <v>2</v>
      </c>
      <c r="E19" s="7">
        <f>transform!D3</f>
        <v>40876</v>
      </c>
      <c r="F19" s="4">
        <f>transform!E3</f>
        <v>1</v>
      </c>
      <c r="G19" s="4">
        <f>transform!F3</f>
        <v>1988</v>
      </c>
      <c r="H19" s="8">
        <f>transform!G3</f>
        <v>4</v>
      </c>
      <c r="I19" s="8">
        <f>transform!H3</f>
        <v>1</v>
      </c>
      <c r="J19" s="4">
        <f>COUNTIF(Raw!AR3:CA3,1)/(COUNTIF(Raw!AR3:CA3,1)+COUNTIF(Raw!AR3:CA3,0))</f>
        <v>0.19047619047619</v>
      </c>
      <c r="K19" s="4">
        <f>transform!CC3</f>
        <v>2</v>
      </c>
      <c r="L19" s="4">
        <f>transform!CD3</f>
        <v>2</v>
      </c>
      <c r="M19" s="4">
        <f>transform!CE3</f>
        <v>1</v>
      </c>
      <c r="N19" s="4">
        <f>transform!CF3</f>
        <v>2</v>
      </c>
      <c r="O19" s="4">
        <f>transform!CG3</f>
        <v>1</v>
      </c>
      <c r="P19" s="4">
        <f>transform!CH3</f>
        <v>2</v>
      </c>
      <c r="Q19" s="4">
        <f>transform!CI3</f>
        <v>1</v>
      </c>
      <c r="R19" s="4">
        <f>transform!CJ3</f>
        <v>1</v>
      </c>
      <c r="S19" s="4">
        <f t="shared" si="3"/>
        <v>1</v>
      </c>
      <c r="T19" s="4">
        <f t="shared" si="4"/>
        <v>0</v>
      </c>
      <c r="U19" s="4">
        <f t="shared" si="0"/>
        <v>2</v>
      </c>
      <c r="V19" s="4">
        <f>transform!CK3</f>
        <v>2</v>
      </c>
      <c r="W19" s="4">
        <f>transform!CL3</f>
        <v>1</v>
      </c>
      <c r="X19" s="4">
        <f>transform!CM3</f>
        <v>1</v>
      </c>
      <c r="Y19" s="4">
        <f t="shared" si="5"/>
        <v>1</v>
      </c>
      <c r="Z19" s="4">
        <f t="shared" si="6"/>
        <v>0</v>
      </c>
      <c r="AA19" s="4">
        <f t="shared" si="1"/>
        <v>2</v>
      </c>
      <c r="AB19" s="4">
        <f>transform!CN3</f>
        <v>2</v>
      </c>
      <c r="AC19" s="4">
        <f>transform!CO3</f>
        <v>1</v>
      </c>
      <c r="AD19" s="4">
        <f>transform!CP3</f>
        <v>1</v>
      </c>
      <c r="AE19" s="4">
        <f t="shared" si="7"/>
        <v>1</v>
      </c>
      <c r="AF19" s="4">
        <f t="shared" si="8"/>
        <v>0</v>
      </c>
      <c r="AG19" s="4">
        <f t="shared" si="2"/>
        <v>2</v>
      </c>
      <c r="AH19" s="4">
        <f>transform!CQ3</f>
        <v>2</v>
      </c>
      <c r="AI19" s="4">
        <f t="shared" si="9"/>
        <v>1</v>
      </c>
      <c r="AJ19" s="4">
        <f t="shared" si="10"/>
        <v>2</v>
      </c>
      <c r="AK19" s="4">
        <f t="shared" si="11"/>
        <v>1</v>
      </c>
      <c r="AL19" s="4">
        <f t="shared" si="12"/>
        <v>1</v>
      </c>
      <c r="AM19" s="4">
        <f t="shared" si="13"/>
        <v>1</v>
      </c>
      <c r="AN19" s="4">
        <f t="shared" si="14"/>
        <v>1</v>
      </c>
      <c r="AO19" s="4">
        <f t="shared" si="15"/>
        <v>1</v>
      </c>
      <c r="AP19" s="4">
        <f t="shared" si="16"/>
        <v>1</v>
      </c>
      <c r="AQ19" s="4">
        <f t="shared" si="17"/>
        <v>2</v>
      </c>
      <c r="AR19" s="4">
        <f t="shared" si="18"/>
        <v>1</v>
      </c>
    </row>
    <row r="20" spans="1:44">
      <c r="A20" s="4">
        <v>0</v>
      </c>
      <c r="B20" s="4">
        <f>transform!A62</f>
        <v>3</v>
      </c>
      <c r="C20" s="4">
        <f>transform!B62</f>
        <v>2</v>
      </c>
      <c r="D20" s="4">
        <f>transform!C62</f>
        <v>8</v>
      </c>
      <c r="E20" s="7">
        <f>transform!D62</f>
        <v>40876</v>
      </c>
      <c r="F20" s="4">
        <f>transform!E62</f>
        <v>1</v>
      </c>
      <c r="G20" s="4">
        <f>transform!F62</f>
        <v>1991</v>
      </c>
      <c r="H20" s="8">
        <f>transform!G62</f>
        <v>1</v>
      </c>
      <c r="I20" s="8">
        <f>transform!H62</f>
        <v>1</v>
      </c>
      <c r="J20" s="4">
        <f>COUNTIF(Raw!AR62:CA62,1)/(COUNTIF(Raw!AR62:CA62,1)+COUNTIF(Raw!AR62:CA62,0))</f>
        <v>0.19047619047619</v>
      </c>
      <c r="K20" s="4">
        <f>transform!CC62</f>
        <v>2</v>
      </c>
      <c r="L20" s="4">
        <f>transform!CD62</f>
        <v>2</v>
      </c>
      <c r="M20" s="4">
        <f>transform!CE62</f>
        <v>2</v>
      </c>
      <c r="N20" s="4">
        <f>transform!CF62</f>
        <v>2</v>
      </c>
      <c r="O20" s="4">
        <f>transform!CG62</f>
        <v>1</v>
      </c>
      <c r="P20" s="4">
        <f>transform!CH62</f>
        <v>2</v>
      </c>
      <c r="Q20" s="4">
        <f>transform!CI62</f>
        <v>0</v>
      </c>
      <c r="R20" s="4">
        <f>transform!CJ62</f>
        <v>2</v>
      </c>
      <c r="S20" s="4">
        <f t="shared" si="3"/>
        <v>0</v>
      </c>
      <c r="T20" s="4">
        <f t="shared" si="4"/>
        <v>0</v>
      </c>
      <c r="U20" s="4">
        <f t="shared" si="0"/>
        <v>1</v>
      </c>
      <c r="V20" s="4">
        <f>transform!CK62</f>
        <v>2</v>
      </c>
      <c r="W20" s="4">
        <f>transform!CL62</f>
        <v>0</v>
      </c>
      <c r="X20" s="4">
        <f>transform!CM62</f>
        <v>2</v>
      </c>
      <c r="Y20" s="4">
        <f t="shared" si="5"/>
        <v>0</v>
      </c>
      <c r="Z20" s="4">
        <f t="shared" si="6"/>
        <v>0</v>
      </c>
      <c r="AA20" s="4">
        <f t="shared" si="1"/>
        <v>1</v>
      </c>
      <c r="AB20" s="4">
        <f>transform!CN62</f>
        <v>2</v>
      </c>
      <c r="AC20" s="4">
        <f>transform!CO62</f>
        <v>0</v>
      </c>
      <c r="AD20" s="4">
        <f>transform!CP62</f>
        <v>2</v>
      </c>
      <c r="AE20" s="4">
        <f t="shared" si="7"/>
        <v>0</v>
      </c>
      <c r="AF20" s="4">
        <f t="shared" si="8"/>
        <v>0</v>
      </c>
      <c r="AG20" s="4">
        <f t="shared" si="2"/>
        <v>1</v>
      </c>
      <c r="AH20" s="4">
        <f>transform!CQ62</f>
        <v>2</v>
      </c>
      <c r="AI20" s="4">
        <f t="shared" si="9"/>
        <v>1</v>
      </c>
      <c r="AJ20" s="4">
        <f t="shared" si="10"/>
        <v>2</v>
      </c>
      <c r="AK20" s="4">
        <f t="shared" si="11"/>
        <v>1</v>
      </c>
      <c r="AL20" s="4">
        <f t="shared" si="12"/>
        <v>1</v>
      </c>
      <c r="AM20" s="4">
        <f t="shared" si="13"/>
        <v>1</v>
      </c>
      <c r="AN20" s="4">
        <f t="shared" si="14"/>
        <v>2</v>
      </c>
      <c r="AO20" s="4">
        <f t="shared" si="15"/>
        <v>1</v>
      </c>
      <c r="AP20" s="4">
        <f t="shared" si="16"/>
        <v>1</v>
      </c>
      <c r="AQ20" s="4">
        <f t="shared" si="17"/>
        <v>1</v>
      </c>
      <c r="AR20" s="4">
        <f t="shared" si="18"/>
        <v>1</v>
      </c>
    </row>
    <row r="21" spans="1:44">
      <c r="A21" s="4">
        <v>0</v>
      </c>
      <c r="B21" s="4">
        <f>transform!A66</f>
        <v>4</v>
      </c>
      <c r="C21" s="4">
        <f>transform!B66</f>
        <v>2</v>
      </c>
      <c r="D21" s="4">
        <f>transform!C66</f>
        <v>4</v>
      </c>
      <c r="E21" s="7">
        <f>transform!D66</f>
        <v>40876</v>
      </c>
      <c r="F21" s="8">
        <f>transform!E66</f>
        <v>2</v>
      </c>
      <c r="G21" s="4">
        <f>transform!F66</f>
        <v>1992</v>
      </c>
      <c r="H21" s="8">
        <f>transform!G66</f>
        <v>4</v>
      </c>
      <c r="I21" s="8">
        <f>transform!H66</f>
        <v>1</v>
      </c>
      <c r="J21" s="4">
        <f>COUNTIF(Raw!AR66:CA66,1)/(COUNTIF(Raw!AR66:CA66,1)+COUNTIF(Raw!AR66:CA66,0))</f>
        <v>0.19047619047619</v>
      </c>
      <c r="K21" s="4">
        <f>transform!CC66</f>
        <v>2</v>
      </c>
      <c r="L21" s="4">
        <f>transform!CD66</f>
        <v>1</v>
      </c>
      <c r="M21" s="4">
        <f>transform!CE66</f>
        <v>2</v>
      </c>
      <c r="N21" s="4">
        <f>transform!CF66</f>
        <v>1</v>
      </c>
      <c r="O21" s="4">
        <f>transform!CG66</f>
        <v>2</v>
      </c>
      <c r="P21" s="4">
        <f>transform!CH66</f>
        <v>1</v>
      </c>
      <c r="Q21" s="4">
        <f>transform!CI66</f>
        <v>0</v>
      </c>
      <c r="R21" s="4">
        <f>transform!CJ66</f>
        <v>2</v>
      </c>
      <c r="S21" s="4">
        <f t="shared" si="3"/>
        <v>0</v>
      </c>
      <c r="T21" s="4">
        <f t="shared" si="4"/>
        <v>0</v>
      </c>
      <c r="U21" s="4">
        <f t="shared" si="0"/>
        <v>1</v>
      </c>
      <c r="V21" s="4">
        <f>transform!CK66</f>
        <v>1</v>
      </c>
      <c r="W21" s="4">
        <f>transform!CL66</f>
        <v>0</v>
      </c>
      <c r="X21" s="4">
        <f>transform!CM66</f>
        <v>2</v>
      </c>
      <c r="Y21" s="4">
        <f t="shared" si="5"/>
        <v>0</v>
      </c>
      <c r="Z21" s="4">
        <f t="shared" si="6"/>
        <v>0</v>
      </c>
      <c r="AA21" s="4">
        <f t="shared" si="1"/>
        <v>1</v>
      </c>
      <c r="AB21" s="4">
        <f>transform!CN66</f>
        <v>1</v>
      </c>
      <c r="AC21" s="4">
        <f>transform!CO66</f>
        <v>0</v>
      </c>
      <c r="AD21" s="4">
        <f>transform!CP66</f>
        <v>2</v>
      </c>
      <c r="AE21" s="4">
        <f t="shared" si="7"/>
        <v>0</v>
      </c>
      <c r="AF21" s="4">
        <f t="shared" si="8"/>
        <v>0</v>
      </c>
      <c r="AG21" s="4">
        <f t="shared" si="2"/>
        <v>1</v>
      </c>
      <c r="AH21" s="4">
        <f>transform!CQ66</f>
        <v>1</v>
      </c>
      <c r="AI21" s="4">
        <f t="shared" si="9"/>
        <v>1</v>
      </c>
      <c r="AJ21" s="4">
        <f t="shared" si="10"/>
        <v>1</v>
      </c>
      <c r="AK21" s="4">
        <f t="shared" si="11"/>
        <v>1</v>
      </c>
      <c r="AL21" s="4">
        <f t="shared" si="12"/>
        <v>2</v>
      </c>
      <c r="AM21" s="4">
        <f t="shared" si="13"/>
        <v>2</v>
      </c>
      <c r="AN21" s="4">
        <f t="shared" si="14"/>
        <v>1</v>
      </c>
      <c r="AO21" s="4">
        <f t="shared" si="15"/>
        <v>1</v>
      </c>
      <c r="AP21" s="4">
        <f t="shared" si="16"/>
        <v>1</v>
      </c>
      <c r="AQ21" s="4">
        <f t="shared" si="17"/>
        <v>1</v>
      </c>
      <c r="AR21" s="4">
        <f t="shared" si="18"/>
        <v>1</v>
      </c>
    </row>
    <row r="22" spans="1:44">
      <c r="A22" s="4">
        <v>0</v>
      </c>
      <c r="B22" s="4">
        <f>transform!A69</f>
        <v>4</v>
      </c>
      <c r="C22" s="4">
        <f>transform!B69</f>
        <v>2</v>
      </c>
      <c r="D22" s="4">
        <f>transform!C69</f>
        <v>7</v>
      </c>
      <c r="E22" s="7">
        <f>transform!D69</f>
        <v>40883</v>
      </c>
      <c r="F22" s="8">
        <f>transform!E69</f>
        <v>2</v>
      </c>
      <c r="G22" s="4">
        <f>transform!F69</f>
        <v>1988</v>
      </c>
      <c r="H22" s="8">
        <f>transform!G69</f>
        <v>3</v>
      </c>
      <c r="I22" s="8">
        <f>transform!H69</f>
        <v>1</v>
      </c>
      <c r="J22" s="4">
        <f>COUNTIF(Raw!AR69:CA69,1)/(COUNTIF(Raw!AR69:CA69,1)+COUNTIF(Raw!AR69:CA69,0))</f>
        <v>0.19047619047619</v>
      </c>
      <c r="K22" s="4">
        <f>transform!CC69</f>
        <v>2</v>
      </c>
      <c r="L22" s="4">
        <f>transform!CD69</f>
        <v>2</v>
      </c>
      <c r="M22" s="4">
        <f>transform!CE69</f>
        <v>2</v>
      </c>
      <c r="N22" s="4">
        <f>transform!CF69</f>
        <v>2</v>
      </c>
      <c r="O22" s="4">
        <f>transform!CG69</f>
        <v>2</v>
      </c>
      <c r="P22" s="4">
        <f>transform!CH69</f>
        <v>2</v>
      </c>
      <c r="Q22" s="4">
        <f>transform!CI69</f>
        <v>0</v>
      </c>
      <c r="R22" s="4">
        <f>transform!CJ69</f>
        <v>1</v>
      </c>
      <c r="S22" s="4">
        <f t="shared" si="3"/>
        <v>0</v>
      </c>
      <c r="T22" s="4">
        <f t="shared" si="4"/>
        <v>0</v>
      </c>
      <c r="U22" s="4">
        <f t="shared" si="0"/>
        <v>1</v>
      </c>
      <c r="V22" s="4">
        <f>transform!CK69</f>
        <v>1</v>
      </c>
      <c r="W22" s="4">
        <f>transform!CL69</f>
        <v>0</v>
      </c>
      <c r="X22" s="4">
        <f>transform!CM69</f>
        <v>1</v>
      </c>
      <c r="Y22" s="4">
        <f t="shared" si="5"/>
        <v>0</v>
      </c>
      <c r="Z22" s="4">
        <f t="shared" si="6"/>
        <v>0</v>
      </c>
      <c r="AA22" s="4">
        <f t="shared" si="1"/>
        <v>1</v>
      </c>
      <c r="AB22" s="4">
        <f>transform!CN69</f>
        <v>1</v>
      </c>
      <c r="AC22" s="4">
        <f>transform!CO69</f>
        <v>0</v>
      </c>
      <c r="AD22" s="4">
        <f>transform!CP69</f>
        <v>1</v>
      </c>
      <c r="AE22" s="4">
        <f t="shared" si="7"/>
        <v>0</v>
      </c>
      <c r="AF22" s="4">
        <f t="shared" si="8"/>
        <v>0</v>
      </c>
      <c r="AG22" s="4">
        <f t="shared" si="2"/>
        <v>1</v>
      </c>
      <c r="AH22" s="4">
        <f>transform!CQ69</f>
        <v>1</v>
      </c>
      <c r="AI22" s="4">
        <f t="shared" si="9"/>
        <v>1</v>
      </c>
      <c r="AJ22" s="4">
        <f t="shared" si="10"/>
        <v>2</v>
      </c>
      <c r="AK22" s="4">
        <f t="shared" si="11"/>
        <v>1</v>
      </c>
      <c r="AL22" s="4">
        <f t="shared" si="12"/>
        <v>1</v>
      </c>
      <c r="AM22" s="4">
        <f t="shared" si="13"/>
        <v>2</v>
      </c>
      <c r="AN22" s="4">
        <f t="shared" si="14"/>
        <v>1</v>
      </c>
      <c r="AO22" s="4">
        <f t="shared" si="15"/>
        <v>1</v>
      </c>
      <c r="AP22" s="4">
        <f t="shared" si="16"/>
        <v>1</v>
      </c>
      <c r="AQ22" s="4">
        <f t="shared" si="17"/>
        <v>1</v>
      </c>
      <c r="AR22" s="4">
        <f t="shared" si="18"/>
        <v>1</v>
      </c>
    </row>
    <row r="23" spans="1:44">
      <c r="A23" s="4">
        <v>0</v>
      </c>
      <c r="B23" s="4">
        <f>transform!A50</f>
        <v>2</v>
      </c>
      <c r="C23" s="4">
        <f>transform!B50</f>
        <v>2</v>
      </c>
      <c r="D23" s="4">
        <f>transform!C50</f>
        <v>5</v>
      </c>
      <c r="E23" s="7">
        <f>transform!D50</f>
        <v>40876</v>
      </c>
      <c r="F23" s="4">
        <f>transform!E50</f>
        <v>1</v>
      </c>
      <c r="G23" s="4">
        <f>transform!F50</f>
        <v>1989</v>
      </c>
      <c r="H23" s="8">
        <f>transform!G50</f>
        <v>4</v>
      </c>
      <c r="I23" s="8">
        <f>transform!H50</f>
        <v>1</v>
      </c>
      <c r="J23" s="4">
        <f>COUNTIF(Raw!AR50:CA50,1)/(COUNTIF(Raw!AR50:CA50,1)+COUNTIF(Raw!AR50:CA50,0))</f>
        <v>0.178571428571429</v>
      </c>
      <c r="K23" s="4">
        <f>transform!CC50</f>
        <v>1</v>
      </c>
      <c r="L23" s="4">
        <f>transform!CD50</f>
        <v>2</v>
      </c>
      <c r="M23" s="4">
        <f>transform!CE50</f>
        <v>2</v>
      </c>
      <c r="N23" s="4">
        <f>transform!CF50</f>
        <v>2</v>
      </c>
      <c r="O23" s="4">
        <f>transform!CG50</f>
        <v>1</v>
      </c>
      <c r="P23" s="4">
        <f>transform!CH50</f>
        <v>2</v>
      </c>
      <c r="Q23" s="4">
        <f>transform!CI50</f>
        <v>1</v>
      </c>
      <c r="R23" s="4">
        <f>transform!CJ50</f>
        <v>1</v>
      </c>
      <c r="S23" s="4">
        <f t="shared" si="3"/>
        <v>1</v>
      </c>
      <c r="T23" s="4">
        <f t="shared" si="4"/>
        <v>0</v>
      </c>
      <c r="U23" s="4">
        <f t="shared" si="0"/>
        <v>2</v>
      </c>
      <c r="V23" s="4">
        <f>transform!CK50</f>
        <v>2</v>
      </c>
      <c r="W23" s="4">
        <f>transform!CL50</f>
        <v>0</v>
      </c>
      <c r="X23" s="4">
        <f>transform!CM50</f>
        <v>1</v>
      </c>
      <c r="Y23" s="4">
        <f t="shared" si="5"/>
        <v>0</v>
      </c>
      <c r="Z23" s="4">
        <f t="shared" si="6"/>
        <v>0</v>
      </c>
      <c r="AA23" s="4">
        <f t="shared" si="1"/>
        <v>1</v>
      </c>
      <c r="AB23" s="4">
        <f>transform!CN50</f>
        <v>2</v>
      </c>
      <c r="AC23" s="4">
        <f>transform!CO50</f>
        <v>1</v>
      </c>
      <c r="AD23" s="4">
        <f>transform!CP50</f>
        <v>1</v>
      </c>
      <c r="AE23" s="4">
        <f t="shared" si="7"/>
        <v>1</v>
      </c>
      <c r="AF23" s="4">
        <f t="shared" si="8"/>
        <v>0</v>
      </c>
      <c r="AG23" s="4">
        <f t="shared" si="2"/>
        <v>2</v>
      </c>
      <c r="AH23" s="4">
        <f>transform!CQ50</f>
        <v>2</v>
      </c>
      <c r="AI23" s="4">
        <f t="shared" si="9"/>
        <v>1</v>
      </c>
      <c r="AJ23" s="4">
        <f t="shared" si="10"/>
        <v>1</v>
      </c>
      <c r="AK23" s="4">
        <f t="shared" si="11"/>
        <v>2</v>
      </c>
      <c r="AL23" s="4">
        <f t="shared" si="12"/>
        <v>1</v>
      </c>
      <c r="AM23" s="4">
        <f t="shared" si="13"/>
        <v>1</v>
      </c>
      <c r="AN23" s="4">
        <f t="shared" si="14"/>
        <v>1</v>
      </c>
      <c r="AO23" s="4">
        <f t="shared" si="15"/>
        <v>1</v>
      </c>
      <c r="AP23" s="4">
        <f t="shared" si="16"/>
        <v>1</v>
      </c>
      <c r="AQ23" s="4">
        <f t="shared" si="17"/>
        <v>2</v>
      </c>
      <c r="AR23" s="4">
        <f t="shared" si="18"/>
        <v>1</v>
      </c>
    </row>
    <row r="24" spans="1:44">
      <c r="A24" s="4">
        <v>0</v>
      </c>
      <c r="B24" s="4">
        <f>transform!A71</f>
        <v>4</v>
      </c>
      <c r="C24" s="4">
        <f>transform!B71</f>
        <v>2</v>
      </c>
      <c r="D24" s="4">
        <f>transform!C71</f>
        <v>9</v>
      </c>
      <c r="E24" s="7">
        <f>transform!D71</f>
        <v>40876</v>
      </c>
      <c r="F24" s="8">
        <f>transform!E71</f>
        <v>2</v>
      </c>
      <c r="G24" s="4">
        <f>transform!F71</f>
        <v>1990</v>
      </c>
      <c r="H24" s="8">
        <f>transform!G71</f>
        <v>4</v>
      </c>
      <c r="I24" s="8">
        <f>transform!H71</f>
        <v>1</v>
      </c>
      <c r="J24" s="4">
        <f>COUNTIF(Raw!AR71:CA71,1)/(COUNTIF(Raw!AR71:CA71,1)+COUNTIF(Raw!AR71:CA71,0))</f>
        <v>0.178571428571429</v>
      </c>
      <c r="K24" s="4">
        <f>transform!CC71</f>
        <v>2</v>
      </c>
      <c r="L24" s="4">
        <f>transform!CD71</f>
        <v>2</v>
      </c>
      <c r="M24" s="4">
        <f>transform!CE71</f>
        <v>1</v>
      </c>
      <c r="N24" s="4">
        <f>transform!CF71</f>
        <v>1</v>
      </c>
      <c r="O24" s="4">
        <f>transform!CG71</f>
        <v>2</v>
      </c>
      <c r="P24" s="4">
        <f>transform!CH71</f>
        <v>1</v>
      </c>
      <c r="Q24" s="4">
        <f>transform!CI71</f>
        <v>0</v>
      </c>
      <c r="R24" s="4">
        <f>transform!CJ71</f>
        <v>2</v>
      </c>
      <c r="S24" s="4">
        <f t="shared" si="3"/>
        <v>0</v>
      </c>
      <c r="T24" s="4">
        <f t="shared" si="4"/>
        <v>0</v>
      </c>
      <c r="U24" s="4">
        <f t="shared" si="0"/>
        <v>1</v>
      </c>
      <c r="V24" s="4">
        <f>transform!CK71</f>
        <v>2</v>
      </c>
      <c r="W24" s="4">
        <f>transform!CL71</f>
        <v>0</v>
      </c>
      <c r="X24" s="4">
        <f>transform!CM71</f>
        <v>1</v>
      </c>
      <c r="Y24" s="4">
        <f t="shared" si="5"/>
        <v>0</v>
      </c>
      <c r="Z24" s="4">
        <f t="shared" si="6"/>
        <v>0</v>
      </c>
      <c r="AA24" s="4">
        <f t="shared" si="1"/>
        <v>1</v>
      </c>
      <c r="AB24" s="4">
        <f>transform!CN71</f>
        <v>2</v>
      </c>
      <c r="AC24" s="4">
        <f>transform!CO71</f>
        <v>0</v>
      </c>
      <c r="AD24" s="4">
        <f>transform!CP71</f>
        <v>2</v>
      </c>
      <c r="AE24" s="4">
        <f t="shared" si="7"/>
        <v>0</v>
      </c>
      <c r="AF24" s="4">
        <f t="shared" si="8"/>
        <v>0</v>
      </c>
      <c r="AG24" s="4">
        <f t="shared" si="2"/>
        <v>1</v>
      </c>
      <c r="AH24" s="4">
        <f>transform!CQ71</f>
        <v>1</v>
      </c>
      <c r="AI24" s="4">
        <f t="shared" si="9"/>
        <v>1</v>
      </c>
      <c r="AJ24" s="4">
        <f t="shared" si="10"/>
        <v>2</v>
      </c>
      <c r="AK24" s="4">
        <f t="shared" si="11"/>
        <v>1</v>
      </c>
      <c r="AL24" s="4">
        <f t="shared" si="12"/>
        <v>1</v>
      </c>
      <c r="AM24" s="4">
        <f t="shared" si="13"/>
        <v>1</v>
      </c>
      <c r="AN24" s="4">
        <f t="shared" si="14"/>
        <v>2</v>
      </c>
      <c r="AO24" s="4">
        <f t="shared" si="15"/>
        <v>1</v>
      </c>
      <c r="AP24" s="4">
        <f t="shared" si="16"/>
        <v>1</v>
      </c>
      <c r="AQ24" s="4">
        <f t="shared" si="17"/>
        <v>1</v>
      </c>
      <c r="AR24" s="4">
        <f t="shared" si="18"/>
        <v>1</v>
      </c>
    </row>
    <row r="25" spans="1:44">
      <c r="A25" s="4">
        <v>0</v>
      </c>
      <c r="B25" s="4">
        <f>transform!A20</f>
        <v>3</v>
      </c>
      <c r="C25" s="4">
        <f>transform!B20</f>
        <v>1</v>
      </c>
      <c r="D25" s="4">
        <f>transform!C20</f>
        <v>4</v>
      </c>
      <c r="E25" s="7">
        <f>transform!D20</f>
        <v>40876</v>
      </c>
      <c r="F25" s="8">
        <f>transform!E20</f>
        <v>2</v>
      </c>
      <c r="G25" s="4">
        <f>transform!F20</f>
        <v>1990</v>
      </c>
      <c r="H25" s="8">
        <f>transform!G20</f>
        <v>3</v>
      </c>
      <c r="I25" s="8">
        <f>transform!H20</f>
        <v>1</v>
      </c>
      <c r="J25" s="4">
        <f>COUNTIF(Raw!AR20:CA20,1)/(COUNTIF(Raw!AR20:CA20,1)+COUNTIF(Raw!AR20:CA20,0))</f>
        <v>0.142857142857143</v>
      </c>
      <c r="K25" s="4">
        <f>transform!CC20</f>
        <v>2</v>
      </c>
      <c r="L25" s="4">
        <f>transform!CD20</f>
        <v>1</v>
      </c>
      <c r="M25" s="4">
        <f>transform!CE20</f>
        <v>2</v>
      </c>
      <c r="N25" s="4">
        <f>transform!CF20</f>
        <v>2</v>
      </c>
      <c r="O25" s="4">
        <f>transform!CG20</f>
        <v>1</v>
      </c>
      <c r="P25" s="4">
        <f>transform!CH20</f>
        <v>2</v>
      </c>
      <c r="Q25" s="4">
        <f>transform!CI20</f>
        <v>1</v>
      </c>
      <c r="R25" s="4">
        <f>transform!CJ20</f>
        <v>1</v>
      </c>
      <c r="S25" s="4">
        <f t="shared" si="3"/>
        <v>1</v>
      </c>
      <c r="T25" s="4">
        <f t="shared" si="4"/>
        <v>0</v>
      </c>
      <c r="U25" s="4">
        <f t="shared" si="0"/>
        <v>2</v>
      </c>
      <c r="V25" s="4">
        <f>transform!CK20</f>
        <v>1</v>
      </c>
      <c r="W25" s="4">
        <f>transform!CL20</f>
        <v>1</v>
      </c>
      <c r="X25" s="4">
        <f>transform!CM20</f>
        <v>2</v>
      </c>
      <c r="Y25" s="4">
        <f t="shared" si="5"/>
        <v>0</v>
      </c>
      <c r="Z25" s="4">
        <f t="shared" si="6"/>
        <v>1</v>
      </c>
      <c r="AA25" s="4">
        <f t="shared" si="1"/>
        <v>3</v>
      </c>
      <c r="AB25" s="4">
        <f>transform!CN20</f>
        <v>1</v>
      </c>
      <c r="AC25" s="4">
        <f>transform!CO20</f>
        <v>1</v>
      </c>
      <c r="AD25" s="4">
        <f>transform!CP20</f>
        <v>2</v>
      </c>
      <c r="AE25" s="4">
        <f t="shared" si="7"/>
        <v>0</v>
      </c>
      <c r="AF25" s="4">
        <f t="shared" si="8"/>
        <v>1</v>
      </c>
      <c r="AG25" s="4">
        <f t="shared" si="2"/>
        <v>3</v>
      </c>
      <c r="AH25" s="4">
        <f>transform!CQ20</f>
        <v>2</v>
      </c>
      <c r="AI25" s="4">
        <f t="shared" si="9"/>
        <v>1</v>
      </c>
      <c r="AJ25" s="4">
        <f t="shared" si="10"/>
        <v>1</v>
      </c>
      <c r="AK25" s="4">
        <f t="shared" si="11"/>
        <v>1</v>
      </c>
      <c r="AL25" s="4">
        <f t="shared" si="12"/>
        <v>2</v>
      </c>
      <c r="AM25" s="4">
        <f t="shared" si="13"/>
        <v>1</v>
      </c>
      <c r="AN25" s="4">
        <f t="shared" si="14"/>
        <v>1</v>
      </c>
      <c r="AO25" s="4">
        <f t="shared" si="15"/>
        <v>2</v>
      </c>
      <c r="AP25" s="4">
        <f t="shared" si="16"/>
        <v>1</v>
      </c>
      <c r="AQ25" s="4">
        <f t="shared" si="17"/>
        <v>1</v>
      </c>
      <c r="AR25" s="4">
        <f t="shared" si="18"/>
        <v>1</v>
      </c>
    </row>
    <row r="26" spans="1:44">
      <c r="A26" s="4">
        <v>0</v>
      </c>
      <c r="B26" s="4">
        <f>transform!A45</f>
        <v>1</v>
      </c>
      <c r="C26" s="4">
        <f>transform!B45</f>
        <v>2</v>
      </c>
      <c r="D26" s="4">
        <f>transform!C45</f>
        <v>8</v>
      </c>
      <c r="E26" s="7">
        <f>transform!D45</f>
        <v>40876</v>
      </c>
      <c r="F26" s="4">
        <f>transform!E45</f>
        <v>1</v>
      </c>
      <c r="G26" s="4">
        <f>transform!F45</f>
        <v>1991</v>
      </c>
      <c r="H26" s="8">
        <f>transform!G45</f>
        <v>1</v>
      </c>
      <c r="I26" s="8">
        <f>transform!H45</f>
        <v>1</v>
      </c>
      <c r="J26" s="4">
        <f>COUNTIF(Raw!AR45:CA45,1)/(COUNTIF(Raw!AR45:CA45,1)+COUNTIF(Raw!AR45:CA45,0))</f>
        <v>0.142857142857143</v>
      </c>
      <c r="K26" s="4">
        <f>transform!CC45</f>
        <v>1</v>
      </c>
      <c r="L26" s="4">
        <f>transform!CD45</f>
        <v>1</v>
      </c>
      <c r="M26" s="4">
        <f>transform!CE45</f>
        <v>1</v>
      </c>
      <c r="N26" s="4">
        <f>transform!CF45</f>
        <v>2</v>
      </c>
      <c r="O26" s="4">
        <f>transform!CG45</f>
        <v>1</v>
      </c>
      <c r="P26" s="4">
        <f>transform!CH45</f>
        <v>1</v>
      </c>
      <c r="Q26" s="4">
        <f>transform!CI45</f>
        <v>0</v>
      </c>
      <c r="R26" s="4">
        <f>transform!CJ45</f>
        <v>2</v>
      </c>
      <c r="S26" s="4">
        <f t="shared" si="3"/>
        <v>0</v>
      </c>
      <c r="T26" s="4">
        <f t="shared" si="4"/>
        <v>0</v>
      </c>
      <c r="U26" s="4">
        <f t="shared" si="0"/>
        <v>1</v>
      </c>
      <c r="V26" s="4">
        <f>transform!CK45</f>
        <v>2</v>
      </c>
      <c r="W26" s="4">
        <f>transform!CL45</f>
        <v>1</v>
      </c>
      <c r="X26" s="4">
        <f>transform!CM45</f>
        <v>2</v>
      </c>
      <c r="Y26" s="4">
        <f t="shared" si="5"/>
        <v>0</v>
      </c>
      <c r="Z26" s="4">
        <f t="shared" si="6"/>
        <v>1</v>
      </c>
      <c r="AA26" s="4">
        <f t="shared" si="1"/>
        <v>3</v>
      </c>
      <c r="AB26" s="4">
        <f>transform!CN45</f>
        <v>1</v>
      </c>
      <c r="AC26" s="4">
        <f>transform!CO45</f>
        <v>1</v>
      </c>
      <c r="AD26" s="4">
        <f>transform!CP45</f>
        <v>2</v>
      </c>
      <c r="AE26" s="4">
        <f t="shared" si="7"/>
        <v>0</v>
      </c>
      <c r="AF26" s="4">
        <f t="shared" si="8"/>
        <v>1</v>
      </c>
      <c r="AG26" s="4">
        <f t="shared" si="2"/>
        <v>3</v>
      </c>
      <c r="AH26" s="4">
        <f>transform!CQ45</f>
        <v>1</v>
      </c>
      <c r="AI26" s="4">
        <f t="shared" si="9"/>
        <v>2</v>
      </c>
      <c r="AJ26" s="4">
        <f t="shared" si="10"/>
        <v>1</v>
      </c>
      <c r="AK26" s="4">
        <f t="shared" si="11"/>
        <v>1</v>
      </c>
      <c r="AL26" s="4">
        <f t="shared" si="12"/>
        <v>1</v>
      </c>
      <c r="AM26" s="4">
        <f t="shared" si="13"/>
        <v>1</v>
      </c>
      <c r="AN26" s="4">
        <f t="shared" si="14"/>
        <v>2</v>
      </c>
      <c r="AO26" s="4">
        <f t="shared" si="15"/>
        <v>1</v>
      </c>
      <c r="AP26" s="4">
        <f t="shared" si="16"/>
        <v>1</v>
      </c>
      <c r="AQ26" s="4">
        <f t="shared" si="17"/>
        <v>1</v>
      </c>
      <c r="AR26" s="4">
        <f t="shared" si="18"/>
        <v>1</v>
      </c>
    </row>
    <row r="27" spans="1:44">
      <c r="A27" s="4">
        <v>0</v>
      </c>
      <c r="B27" s="4">
        <f>transform!A47</f>
        <v>2</v>
      </c>
      <c r="C27" s="4">
        <f>transform!B47</f>
        <v>2</v>
      </c>
      <c r="D27" s="4">
        <f>transform!C47</f>
        <v>2</v>
      </c>
      <c r="E27" s="7">
        <f>transform!D47</f>
        <v>40876</v>
      </c>
      <c r="F27" s="4">
        <f>transform!E47</f>
        <v>1</v>
      </c>
      <c r="G27" s="4">
        <f>transform!F47</f>
        <v>1992</v>
      </c>
      <c r="H27" s="8">
        <f>transform!G47</f>
        <v>1</v>
      </c>
      <c r="I27" s="8">
        <f>transform!H47</f>
        <v>1</v>
      </c>
      <c r="J27" s="4">
        <f>COUNTIF(Raw!AR47:CA47,1)/(COUNTIF(Raw!AR47:CA47,1)+COUNTIF(Raw!AR47:CA47,0))</f>
        <v>0.142857142857143</v>
      </c>
      <c r="K27" s="4">
        <f>transform!CC47</f>
        <v>1</v>
      </c>
      <c r="L27" s="4">
        <f>transform!CD47</f>
        <v>2</v>
      </c>
      <c r="M27" s="4">
        <f>transform!CE47</f>
        <v>1</v>
      </c>
      <c r="N27" s="4">
        <f>transform!CF47</f>
        <v>2</v>
      </c>
      <c r="O27" s="4">
        <f>transform!CG47</f>
        <v>1</v>
      </c>
      <c r="P27" s="4">
        <f>transform!CH47</f>
        <v>2</v>
      </c>
      <c r="Q27" s="4">
        <f>transform!CI47</f>
        <v>1</v>
      </c>
      <c r="R27" s="4">
        <f>transform!CJ47</f>
        <v>1</v>
      </c>
      <c r="S27" s="4">
        <f t="shared" si="3"/>
        <v>1</v>
      </c>
      <c r="T27" s="4">
        <f t="shared" si="4"/>
        <v>0</v>
      </c>
      <c r="U27" s="4">
        <f t="shared" si="0"/>
        <v>2</v>
      </c>
      <c r="V27" s="4">
        <f>transform!CK47</f>
        <v>2</v>
      </c>
      <c r="W27" s="4">
        <f>transform!CL47</f>
        <v>1</v>
      </c>
      <c r="X27" s="4">
        <f>transform!CM47</f>
        <v>1</v>
      </c>
      <c r="Y27" s="4">
        <f t="shared" si="5"/>
        <v>1</v>
      </c>
      <c r="Z27" s="4">
        <f t="shared" si="6"/>
        <v>0</v>
      </c>
      <c r="AA27" s="4">
        <f t="shared" si="1"/>
        <v>2</v>
      </c>
      <c r="AB27" s="4">
        <f>transform!CN47</f>
        <v>2</v>
      </c>
      <c r="AC27" s="4">
        <f>transform!CO47</f>
        <v>1</v>
      </c>
      <c r="AD27" s="4">
        <f>transform!CP47</f>
        <v>1</v>
      </c>
      <c r="AE27" s="4">
        <f t="shared" si="7"/>
        <v>1</v>
      </c>
      <c r="AF27" s="4">
        <f t="shared" si="8"/>
        <v>0</v>
      </c>
      <c r="AG27" s="4">
        <f t="shared" si="2"/>
        <v>2</v>
      </c>
      <c r="AH27" s="4">
        <f>transform!CQ47</f>
        <v>2</v>
      </c>
      <c r="AI27" s="4">
        <f t="shared" si="9"/>
        <v>1</v>
      </c>
      <c r="AJ27" s="4">
        <f t="shared" si="10"/>
        <v>1</v>
      </c>
      <c r="AK27" s="4">
        <f t="shared" si="11"/>
        <v>2</v>
      </c>
      <c r="AL27" s="4">
        <f t="shared" si="12"/>
        <v>1</v>
      </c>
      <c r="AM27" s="4">
        <f t="shared" si="13"/>
        <v>1</v>
      </c>
      <c r="AN27" s="4">
        <f t="shared" si="14"/>
        <v>1</v>
      </c>
      <c r="AO27" s="4">
        <f t="shared" si="15"/>
        <v>1</v>
      </c>
      <c r="AP27" s="4">
        <f t="shared" si="16"/>
        <v>1</v>
      </c>
      <c r="AQ27" s="4">
        <f t="shared" si="17"/>
        <v>2</v>
      </c>
      <c r="AR27" s="4">
        <f t="shared" si="18"/>
        <v>1</v>
      </c>
    </row>
    <row r="28" spans="1:44">
      <c r="A28" s="4">
        <v>0</v>
      </c>
      <c r="B28" s="4">
        <f>transform!A63</f>
        <v>4</v>
      </c>
      <c r="C28" s="4">
        <f>transform!B63</f>
        <v>2</v>
      </c>
      <c r="D28" s="4">
        <f>transform!C63</f>
        <v>1</v>
      </c>
      <c r="E28" s="7">
        <f>transform!D63</f>
        <v>40876</v>
      </c>
      <c r="F28" s="8">
        <f>transform!E63</f>
        <v>2</v>
      </c>
      <c r="G28" s="4">
        <f>transform!F63</f>
        <v>1989</v>
      </c>
      <c r="H28" s="8">
        <f>transform!G63</f>
        <v>4</v>
      </c>
      <c r="I28" s="8">
        <f>transform!H63</f>
        <v>1</v>
      </c>
      <c r="J28" s="4">
        <f>COUNTIF(Raw!AR63:CA63,1)/(COUNTIF(Raw!AR63:CA63,1)+COUNTIF(Raw!AR63:CA63,0))</f>
        <v>0.142857142857143</v>
      </c>
      <c r="K28" s="4">
        <f>transform!CC63</f>
        <v>2</v>
      </c>
      <c r="L28" s="4">
        <f>transform!CD63</f>
        <v>2</v>
      </c>
      <c r="M28" s="4">
        <f>transform!CE63</f>
        <v>2</v>
      </c>
      <c r="N28" s="4">
        <f>transform!CF63</f>
        <v>2</v>
      </c>
      <c r="O28" s="4">
        <f>transform!CG63</f>
        <v>1</v>
      </c>
      <c r="P28" s="4">
        <f>transform!CH63</f>
        <v>2</v>
      </c>
      <c r="Q28" s="4">
        <f>transform!CI63</f>
        <v>1</v>
      </c>
      <c r="R28" s="4">
        <f>transform!CJ63</f>
        <v>2</v>
      </c>
      <c r="S28" s="4">
        <f t="shared" si="3"/>
        <v>0</v>
      </c>
      <c r="T28" s="4">
        <f t="shared" si="4"/>
        <v>1</v>
      </c>
      <c r="U28" s="4">
        <f t="shared" si="0"/>
        <v>3</v>
      </c>
      <c r="V28" s="4">
        <f>transform!CK63</f>
        <v>2</v>
      </c>
      <c r="W28" s="4">
        <f>transform!CL63</f>
        <v>1</v>
      </c>
      <c r="X28" s="4">
        <f>transform!CM63</f>
        <v>2</v>
      </c>
      <c r="Y28" s="4">
        <f t="shared" si="5"/>
        <v>0</v>
      </c>
      <c r="Z28" s="4">
        <f t="shared" si="6"/>
        <v>1</v>
      </c>
      <c r="AA28" s="4">
        <f t="shared" si="1"/>
        <v>3</v>
      </c>
      <c r="AB28" s="4">
        <f>transform!CN63</f>
        <v>2</v>
      </c>
      <c r="AC28" s="4">
        <f>transform!CO63</f>
        <v>0</v>
      </c>
      <c r="AD28" s="4">
        <f>transform!CP63</f>
        <v>1</v>
      </c>
      <c r="AE28" s="4">
        <f t="shared" si="7"/>
        <v>0</v>
      </c>
      <c r="AF28" s="4">
        <f t="shared" si="8"/>
        <v>0</v>
      </c>
      <c r="AG28" s="4">
        <f t="shared" si="2"/>
        <v>1</v>
      </c>
      <c r="AH28" s="4">
        <f>transform!CQ63</f>
        <v>2</v>
      </c>
      <c r="AI28" s="4">
        <f t="shared" si="9"/>
        <v>1</v>
      </c>
      <c r="AJ28" s="4">
        <f t="shared" si="10"/>
        <v>2</v>
      </c>
      <c r="AK28" s="4">
        <f t="shared" si="11"/>
        <v>1</v>
      </c>
      <c r="AL28" s="4">
        <f t="shared" si="12"/>
        <v>1</v>
      </c>
      <c r="AM28" s="4">
        <f t="shared" si="13"/>
        <v>1</v>
      </c>
      <c r="AN28" s="4">
        <f t="shared" si="14"/>
        <v>1</v>
      </c>
      <c r="AO28" s="4">
        <f t="shared" si="15"/>
        <v>1</v>
      </c>
      <c r="AP28" s="4">
        <f t="shared" si="16"/>
        <v>2</v>
      </c>
      <c r="AQ28" s="4">
        <f t="shared" si="17"/>
        <v>1</v>
      </c>
      <c r="AR28" s="4">
        <f t="shared" si="18"/>
        <v>1</v>
      </c>
    </row>
    <row r="29" spans="1:44">
      <c r="A29" s="4">
        <v>0</v>
      </c>
      <c r="B29" s="4">
        <f>transform!A70</f>
        <v>4</v>
      </c>
      <c r="C29" s="4">
        <f>transform!B70</f>
        <v>2</v>
      </c>
      <c r="D29" s="4">
        <f>transform!C70</f>
        <v>8</v>
      </c>
      <c r="E29" s="7">
        <f>transform!D70</f>
        <v>40876</v>
      </c>
      <c r="F29" s="8">
        <f>transform!E70</f>
        <v>2</v>
      </c>
      <c r="G29" s="4">
        <f>transform!F70</f>
        <v>1989</v>
      </c>
      <c r="H29" s="8">
        <f>transform!G70</f>
        <v>6</v>
      </c>
      <c r="I29" s="8">
        <f>transform!H70</f>
        <v>1</v>
      </c>
      <c r="J29" s="4">
        <f>COUNTIF(Raw!AR70:CA70,1)/(COUNTIF(Raw!AR70:CA70,1)+COUNTIF(Raw!AR70:CA70,0))</f>
        <v>0.142857142857143</v>
      </c>
      <c r="K29" s="4">
        <f>transform!CC70</f>
        <v>1</v>
      </c>
      <c r="L29" s="4">
        <f>transform!CD70</f>
        <v>1</v>
      </c>
      <c r="M29" s="4">
        <f>transform!CE70</f>
        <v>1</v>
      </c>
      <c r="N29" s="4">
        <f>transform!CF70</f>
        <v>1</v>
      </c>
      <c r="O29" s="4">
        <f>transform!CG70</f>
        <v>1</v>
      </c>
      <c r="P29" s="4">
        <f>transform!CH70</f>
        <v>1</v>
      </c>
      <c r="Q29" s="4">
        <f>transform!CI70</f>
        <v>1</v>
      </c>
      <c r="R29" s="4">
        <f>transform!CJ70</f>
        <v>1</v>
      </c>
      <c r="S29" s="4">
        <f t="shared" si="3"/>
        <v>1</v>
      </c>
      <c r="T29" s="4">
        <f t="shared" si="4"/>
        <v>0</v>
      </c>
      <c r="U29" s="4">
        <f t="shared" si="0"/>
        <v>2</v>
      </c>
      <c r="V29" s="4">
        <f>transform!CK70</f>
        <v>1</v>
      </c>
      <c r="W29" s="4">
        <f>transform!CL70</f>
        <v>1</v>
      </c>
      <c r="X29" s="4">
        <f>transform!CM70</f>
        <v>1</v>
      </c>
      <c r="Y29" s="4">
        <f t="shared" si="5"/>
        <v>1</v>
      </c>
      <c r="Z29" s="4">
        <f t="shared" si="6"/>
        <v>0</v>
      </c>
      <c r="AA29" s="4">
        <f t="shared" si="1"/>
        <v>2</v>
      </c>
      <c r="AB29" s="4">
        <f>transform!CN70</f>
        <v>1</v>
      </c>
      <c r="AC29" s="4">
        <f>transform!CO70</f>
        <v>1</v>
      </c>
      <c r="AD29" s="4">
        <f>transform!CP70</f>
        <v>1</v>
      </c>
      <c r="AE29" s="4">
        <f t="shared" si="7"/>
        <v>1</v>
      </c>
      <c r="AF29" s="4">
        <f t="shared" si="8"/>
        <v>0</v>
      </c>
      <c r="AG29" s="4">
        <f t="shared" si="2"/>
        <v>2</v>
      </c>
      <c r="AH29" s="4">
        <f>transform!CQ70</f>
        <v>1</v>
      </c>
      <c r="AI29" s="4">
        <f t="shared" si="9"/>
        <v>2</v>
      </c>
      <c r="AJ29" s="4">
        <f t="shared" si="10"/>
        <v>1</v>
      </c>
      <c r="AK29" s="4">
        <f t="shared" si="11"/>
        <v>1</v>
      </c>
      <c r="AL29" s="4">
        <f t="shared" si="12"/>
        <v>1</v>
      </c>
      <c r="AM29" s="4">
        <f t="shared" si="13"/>
        <v>1</v>
      </c>
      <c r="AN29" s="4">
        <f t="shared" si="14"/>
        <v>1</v>
      </c>
      <c r="AO29" s="4">
        <f t="shared" si="15"/>
        <v>2</v>
      </c>
      <c r="AP29" s="4">
        <f t="shared" si="16"/>
        <v>1</v>
      </c>
      <c r="AQ29" s="4">
        <f t="shared" si="17"/>
        <v>1</v>
      </c>
      <c r="AR29" s="4">
        <f t="shared" si="18"/>
        <v>1</v>
      </c>
    </row>
    <row r="30" spans="1:44">
      <c r="A30" s="4">
        <v>0</v>
      </c>
      <c r="B30" s="4">
        <f>transform!A32</f>
        <v>5</v>
      </c>
      <c r="C30" s="4">
        <f>transform!B32</f>
        <v>1</v>
      </c>
      <c r="D30" s="4">
        <f>transform!C32</f>
        <v>1</v>
      </c>
      <c r="E30" s="7">
        <f>transform!D32</f>
        <v>40876</v>
      </c>
      <c r="F30" s="8">
        <f>transform!E32</f>
        <v>2</v>
      </c>
      <c r="G30" s="4">
        <f>transform!F32</f>
        <v>1990</v>
      </c>
      <c r="H30" s="8">
        <f>transform!G32</f>
        <v>4</v>
      </c>
      <c r="I30" s="8">
        <f>transform!H32</f>
        <v>1</v>
      </c>
      <c r="J30" s="4">
        <f>COUNTIF(Raw!AR32:CA32,1)/(COUNTIF(Raw!AR32:CA32,1)+COUNTIF(Raw!AR32:CA32,0))</f>
        <v>0.133333333333333</v>
      </c>
      <c r="K30" s="4">
        <f>transform!CC32</f>
        <v>2</v>
      </c>
      <c r="L30" s="4">
        <f>transform!CD32</f>
        <v>2</v>
      </c>
      <c r="M30" s="4">
        <f>transform!CE32</f>
        <v>2</v>
      </c>
      <c r="N30" s="4">
        <f>transform!CF32</f>
        <v>2</v>
      </c>
      <c r="O30" s="4">
        <f>transform!CG32</f>
        <v>2</v>
      </c>
      <c r="P30" s="4">
        <f>transform!CH32</f>
        <v>2</v>
      </c>
      <c r="Q30" s="4">
        <f>transform!CI32</f>
        <v>1</v>
      </c>
      <c r="R30" s="4">
        <f>transform!CJ32</f>
        <v>2</v>
      </c>
      <c r="S30" s="4">
        <f t="shared" si="3"/>
        <v>0</v>
      </c>
      <c r="T30" s="4">
        <f t="shared" si="4"/>
        <v>1</v>
      </c>
      <c r="U30" s="4">
        <f t="shared" si="0"/>
        <v>3</v>
      </c>
      <c r="V30" s="4">
        <f>transform!CK32</f>
        <v>2</v>
      </c>
      <c r="W30" s="4">
        <f>transform!CL32</f>
        <v>1</v>
      </c>
      <c r="X30" s="4">
        <f>transform!CM32</f>
        <v>2</v>
      </c>
      <c r="Y30" s="4">
        <f t="shared" si="5"/>
        <v>0</v>
      </c>
      <c r="Z30" s="4">
        <f t="shared" si="6"/>
        <v>1</v>
      </c>
      <c r="AA30" s="4">
        <f t="shared" si="1"/>
        <v>3</v>
      </c>
      <c r="AB30" s="4">
        <f>transform!CN32</f>
        <v>2</v>
      </c>
      <c r="AC30" s="4">
        <f>transform!CO32</f>
        <v>0</v>
      </c>
      <c r="AD30" s="4">
        <f>transform!CP32</f>
        <v>2</v>
      </c>
      <c r="AE30" s="4">
        <f t="shared" si="7"/>
        <v>0</v>
      </c>
      <c r="AF30" s="4">
        <f t="shared" si="8"/>
        <v>0</v>
      </c>
      <c r="AG30" s="4">
        <f t="shared" si="2"/>
        <v>1</v>
      </c>
      <c r="AH30" s="4">
        <f>transform!CQ32</f>
        <v>2</v>
      </c>
      <c r="AI30" s="4">
        <f t="shared" si="9"/>
        <v>1</v>
      </c>
      <c r="AJ30" s="4">
        <f t="shared" si="10"/>
        <v>2</v>
      </c>
      <c r="AK30" s="4">
        <f t="shared" si="11"/>
        <v>1</v>
      </c>
      <c r="AL30" s="4">
        <f t="shared" si="12"/>
        <v>1</v>
      </c>
      <c r="AM30" s="4">
        <f t="shared" si="13"/>
        <v>1</v>
      </c>
      <c r="AN30" s="4">
        <f t="shared" si="14"/>
        <v>1</v>
      </c>
      <c r="AO30" s="4">
        <f t="shared" si="15"/>
        <v>1</v>
      </c>
      <c r="AP30" s="4">
        <f t="shared" si="16"/>
        <v>2</v>
      </c>
      <c r="AQ30" s="4">
        <f t="shared" si="17"/>
        <v>1</v>
      </c>
      <c r="AR30" s="4">
        <f t="shared" si="18"/>
        <v>1</v>
      </c>
    </row>
    <row r="31" spans="1:44">
      <c r="A31" s="4">
        <v>0</v>
      </c>
      <c r="B31" s="4">
        <f>transform!A51</f>
        <v>2</v>
      </c>
      <c r="C31" s="4">
        <f>transform!B51</f>
        <v>2</v>
      </c>
      <c r="D31" s="4">
        <f>transform!C51</f>
        <v>6</v>
      </c>
      <c r="E31" s="7">
        <f>transform!D51</f>
        <v>40876</v>
      </c>
      <c r="F31" s="4">
        <f>transform!E51</f>
        <v>1</v>
      </c>
      <c r="G31" s="4">
        <f>transform!F51</f>
        <v>1985</v>
      </c>
      <c r="H31" s="8">
        <f>transform!G51</f>
        <v>4</v>
      </c>
      <c r="I31" s="4">
        <f>transform!H51</f>
        <v>2</v>
      </c>
      <c r="J31" s="4">
        <f>COUNTIF(Raw!AR51:CA51,1)/(COUNTIF(Raw!AR51:CA51,1)+COUNTIF(Raw!AR51:CA51,0))</f>
        <v>0.107142857142857</v>
      </c>
      <c r="K31" s="4">
        <f>transform!CC51</f>
        <v>1</v>
      </c>
      <c r="L31" s="4">
        <f>transform!CD51</f>
        <v>2</v>
      </c>
      <c r="M31" s="4">
        <f>transform!CE51</f>
        <v>1</v>
      </c>
      <c r="N31" s="4">
        <f>transform!CF51</f>
        <v>2</v>
      </c>
      <c r="O31" s="4">
        <f>transform!CG51</f>
        <v>1</v>
      </c>
      <c r="P31" s="4">
        <f>transform!CH51</f>
        <v>2</v>
      </c>
      <c r="Q31" s="4">
        <f>transform!CI51</f>
        <v>1</v>
      </c>
      <c r="R31" s="4">
        <f>transform!CJ51</f>
        <v>2</v>
      </c>
      <c r="S31" s="4">
        <f t="shared" si="3"/>
        <v>0</v>
      </c>
      <c r="T31" s="4">
        <f t="shared" si="4"/>
        <v>1</v>
      </c>
      <c r="U31" s="4">
        <f t="shared" si="0"/>
        <v>3</v>
      </c>
      <c r="V31" s="4">
        <f>transform!CK51</f>
        <v>1</v>
      </c>
      <c r="W31" s="4">
        <f>transform!CL51</f>
        <v>1</v>
      </c>
      <c r="X31" s="4">
        <f>transform!CM51</f>
        <v>2</v>
      </c>
      <c r="Y31" s="4">
        <f t="shared" si="5"/>
        <v>0</v>
      </c>
      <c r="Z31" s="4">
        <f t="shared" si="6"/>
        <v>1</v>
      </c>
      <c r="AA31" s="4">
        <f t="shared" si="1"/>
        <v>3</v>
      </c>
      <c r="AB31" s="4">
        <f>transform!CN51</f>
        <v>1</v>
      </c>
      <c r="AC31" s="4">
        <f>transform!CO51</f>
        <v>1</v>
      </c>
      <c r="AD31" s="4">
        <f>transform!CP51</f>
        <v>2</v>
      </c>
      <c r="AE31" s="4">
        <f t="shared" si="7"/>
        <v>0</v>
      </c>
      <c r="AF31" s="4">
        <f t="shared" si="8"/>
        <v>1</v>
      </c>
      <c r="AG31" s="4">
        <f t="shared" si="2"/>
        <v>3</v>
      </c>
      <c r="AH31" s="4">
        <f>transform!CQ51</f>
        <v>1</v>
      </c>
      <c r="AI31" s="4">
        <f t="shared" si="9"/>
        <v>1</v>
      </c>
      <c r="AJ31" s="4">
        <f t="shared" si="10"/>
        <v>1</v>
      </c>
      <c r="AK31" s="4">
        <f t="shared" si="11"/>
        <v>2</v>
      </c>
      <c r="AL31" s="4">
        <f t="shared" si="12"/>
        <v>1</v>
      </c>
      <c r="AM31" s="4">
        <f t="shared" si="13"/>
        <v>1</v>
      </c>
      <c r="AN31" s="4">
        <f t="shared" si="14"/>
        <v>1</v>
      </c>
      <c r="AO31" s="4">
        <f t="shared" si="15"/>
        <v>1</v>
      </c>
      <c r="AP31" s="4">
        <f t="shared" si="16"/>
        <v>1</v>
      </c>
      <c r="AQ31" s="4">
        <f t="shared" si="17"/>
        <v>1</v>
      </c>
      <c r="AR31" s="4">
        <f t="shared" si="18"/>
        <v>2</v>
      </c>
    </row>
    <row r="32" spans="1:44">
      <c r="A32" s="4">
        <v>0</v>
      </c>
      <c r="B32" s="4">
        <f>transform!A43</f>
        <v>1</v>
      </c>
      <c r="C32" s="4">
        <f>transform!B43</f>
        <v>2</v>
      </c>
      <c r="D32" s="4">
        <f>transform!C43</f>
        <v>6</v>
      </c>
      <c r="E32" s="7">
        <f>transform!D43</f>
        <v>40892</v>
      </c>
      <c r="F32" s="4">
        <f>transform!E43</f>
        <v>1</v>
      </c>
      <c r="G32" s="4">
        <f>transform!F43</f>
        <v>1993</v>
      </c>
      <c r="H32" s="8">
        <f>transform!G43</f>
        <v>6</v>
      </c>
      <c r="I32" s="8">
        <f>transform!H43</f>
        <v>1</v>
      </c>
      <c r="J32" s="4">
        <f>COUNTIF(Raw!AR43:CA43,1)/(COUNTIF(Raw!AR43:CA43,1)+COUNTIF(Raw!AR43:CA43,0))</f>
        <v>0.0869565217391304</v>
      </c>
      <c r="K32" s="4">
        <f>transform!CC43</f>
        <v>2</v>
      </c>
      <c r="L32" s="4">
        <f>transform!CD43</f>
        <v>2</v>
      </c>
      <c r="M32" s="4">
        <f>transform!CE43</f>
        <v>1</v>
      </c>
      <c r="N32" s="4">
        <f>transform!CF43</f>
        <v>1</v>
      </c>
      <c r="O32" s="4">
        <f>transform!CG43</f>
        <v>2</v>
      </c>
      <c r="P32" s="4">
        <f>transform!CH43</f>
        <v>2</v>
      </c>
      <c r="Q32" s="4">
        <f>transform!CI43</f>
        <v>1</v>
      </c>
      <c r="R32" s="4">
        <f>transform!CJ43</f>
        <v>1</v>
      </c>
      <c r="S32" s="4">
        <f t="shared" si="3"/>
        <v>1</v>
      </c>
      <c r="T32" s="4">
        <f t="shared" si="4"/>
        <v>0</v>
      </c>
      <c r="U32" s="4">
        <f t="shared" si="0"/>
        <v>2</v>
      </c>
      <c r="V32" s="4">
        <f>transform!CK43</f>
        <v>2</v>
      </c>
      <c r="W32" s="4">
        <f>transform!CL43</f>
        <v>0</v>
      </c>
      <c r="X32" s="4">
        <f>transform!CM43</f>
        <v>1</v>
      </c>
      <c r="Y32" s="4">
        <f t="shared" si="5"/>
        <v>0</v>
      </c>
      <c r="Z32" s="4">
        <f t="shared" si="6"/>
        <v>0</v>
      </c>
      <c r="AA32" s="4">
        <f t="shared" si="1"/>
        <v>1</v>
      </c>
      <c r="AB32" s="4">
        <f>transform!CN43</f>
        <v>1</v>
      </c>
      <c r="AC32" s="4">
        <f>transform!CO43</f>
        <v>0</v>
      </c>
      <c r="AD32" s="4">
        <f>transform!CP43</f>
        <v>1</v>
      </c>
      <c r="AE32" s="4">
        <f t="shared" si="7"/>
        <v>0</v>
      </c>
      <c r="AF32" s="4">
        <f t="shared" si="8"/>
        <v>0</v>
      </c>
      <c r="AG32" s="4">
        <f t="shared" si="2"/>
        <v>1</v>
      </c>
      <c r="AH32" s="4">
        <f>transform!CQ43</f>
        <v>2</v>
      </c>
      <c r="AI32" s="4">
        <f t="shared" si="9"/>
        <v>1</v>
      </c>
      <c r="AJ32" s="4">
        <f t="shared" si="10"/>
        <v>2</v>
      </c>
      <c r="AK32" s="4">
        <f t="shared" si="11"/>
        <v>1</v>
      </c>
      <c r="AL32" s="4">
        <f t="shared" si="12"/>
        <v>1</v>
      </c>
      <c r="AM32" s="4">
        <f t="shared" si="13"/>
        <v>1</v>
      </c>
      <c r="AN32" s="4">
        <f t="shared" si="14"/>
        <v>1</v>
      </c>
      <c r="AO32" s="4">
        <f t="shared" si="15"/>
        <v>1</v>
      </c>
      <c r="AP32" s="4">
        <f t="shared" si="16"/>
        <v>1</v>
      </c>
      <c r="AQ32" s="4">
        <f t="shared" si="17"/>
        <v>2</v>
      </c>
      <c r="AR32" s="4">
        <f t="shared" si="18"/>
        <v>1</v>
      </c>
    </row>
    <row r="33" spans="1:44">
      <c r="A33" s="4">
        <v>0</v>
      </c>
      <c r="B33" s="4">
        <f>transform!A46</f>
        <v>2</v>
      </c>
      <c r="C33" s="4">
        <f>transform!B46</f>
        <v>2</v>
      </c>
      <c r="D33" s="4">
        <f>transform!C46</f>
        <v>1</v>
      </c>
      <c r="E33" s="7">
        <f>transform!D46</f>
        <v>40876</v>
      </c>
      <c r="F33" s="4">
        <f>transform!E46</f>
        <v>1</v>
      </c>
      <c r="G33" s="4">
        <f>transform!F46</f>
        <v>1988</v>
      </c>
      <c r="H33" s="8">
        <f>transform!G46</f>
        <v>2</v>
      </c>
      <c r="I33" s="8">
        <f>transform!H46</f>
        <v>1</v>
      </c>
      <c r="J33" s="4">
        <f>COUNTIF(Raw!AR46:CA46,1)/(COUNTIF(Raw!AR46:CA46,1)+COUNTIF(Raw!AR46:CA46,0))</f>
        <v>0.0714285714285714</v>
      </c>
      <c r="K33" s="4">
        <f>transform!CC46</f>
        <v>1</v>
      </c>
      <c r="L33" s="4">
        <f>transform!CD46</f>
        <v>2</v>
      </c>
      <c r="M33" s="4">
        <f>transform!CE46</f>
        <v>1</v>
      </c>
      <c r="N33" s="4">
        <f>transform!CF46</f>
        <v>1</v>
      </c>
      <c r="O33" s="4">
        <f>transform!CG46</f>
        <v>1</v>
      </c>
      <c r="P33" s="4">
        <f>transform!CH46</f>
        <v>1</v>
      </c>
      <c r="Q33" s="4">
        <f>transform!CI46</f>
        <v>1</v>
      </c>
      <c r="R33" s="4">
        <f>transform!CJ46</f>
        <v>2</v>
      </c>
      <c r="S33" s="4">
        <f t="shared" si="3"/>
        <v>0</v>
      </c>
      <c r="T33" s="4">
        <f t="shared" si="4"/>
        <v>1</v>
      </c>
      <c r="U33" s="4">
        <f t="shared" si="0"/>
        <v>3</v>
      </c>
      <c r="V33" s="4">
        <f>transform!CK46</f>
        <v>1</v>
      </c>
      <c r="W33" s="4">
        <f>transform!CL46</f>
        <v>1</v>
      </c>
      <c r="X33" s="4">
        <f>transform!CM46</f>
        <v>2</v>
      </c>
      <c r="Y33" s="4">
        <f t="shared" si="5"/>
        <v>0</v>
      </c>
      <c r="Z33" s="4">
        <f t="shared" si="6"/>
        <v>1</v>
      </c>
      <c r="AA33" s="4">
        <f t="shared" si="1"/>
        <v>3</v>
      </c>
      <c r="AB33" s="4">
        <f>transform!CN46</f>
        <v>2</v>
      </c>
      <c r="AC33" s="4">
        <f>transform!CO46</f>
        <v>1</v>
      </c>
      <c r="AD33" s="4">
        <f>transform!CP46</f>
        <v>2</v>
      </c>
      <c r="AE33" s="4">
        <f t="shared" si="7"/>
        <v>0</v>
      </c>
      <c r="AF33" s="4">
        <f t="shared" si="8"/>
        <v>1</v>
      </c>
      <c r="AG33" s="4">
        <f t="shared" si="2"/>
        <v>3</v>
      </c>
      <c r="AH33" s="4">
        <f>transform!CQ46</f>
        <v>2</v>
      </c>
      <c r="AI33" s="4">
        <f t="shared" si="9"/>
        <v>1</v>
      </c>
      <c r="AJ33" s="4">
        <f t="shared" si="10"/>
        <v>1</v>
      </c>
      <c r="AK33" s="4">
        <f t="shared" si="11"/>
        <v>2</v>
      </c>
      <c r="AL33" s="4">
        <f t="shared" si="12"/>
        <v>1</v>
      </c>
      <c r="AM33" s="4">
        <f t="shared" si="13"/>
        <v>1</v>
      </c>
      <c r="AN33" s="4">
        <f t="shared" si="14"/>
        <v>1</v>
      </c>
      <c r="AO33" s="4">
        <f t="shared" si="15"/>
        <v>1</v>
      </c>
      <c r="AP33" s="4">
        <f t="shared" si="16"/>
        <v>1</v>
      </c>
      <c r="AQ33" s="4">
        <f t="shared" si="17"/>
        <v>1</v>
      </c>
      <c r="AR33" s="4">
        <f t="shared" si="18"/>
        <v>2</v>
      </c>
    </row>
    <row r="34" spans="1:44">
      <c r="A34" s="4">
        <v>0</v>
      </c>
      <c r="B34" s="4">
        <f>transform!A34</f>
        <v>5</v>
      </c>
      <c r="C34" s="4">
        <f>transform!B34</f>
        <v>1</v>
      </c>
      <c r="D34" s="4">
        <f>transform!C34</f>
        <v>3</v>
      </c>
      <c r="E34" s="7">
        <f>transform!D34</f>
        <v>40876</v>
      </c>
      <c r="F34" s="8">
        <f>transform!E34</f>
        <v>2</v>
      </c>
      <c r="G34" s="4">
        <f>transform!F34</f>
        <v>1987</v>
      </c>
      <c r="H34" s="8">
        <f>transform!G34</f>
        <v>4</v>
      </c>
      <c r="I34" s="8">
        <f>transform!H34</f>
        <v>1</v>
      </c>
      <c r="J34" s="4">
        <f>COUNTIF(Raw!AR34:CA34,1)/(COUNTIF(Raw!AR34:CA34,1)+COUNTIF(Raw!AR34:CA34,0))</f>
        <v>0.0666666666666667</v>
      </c>
      <c r="K34" s="4">
        <f>transform!CC34</f>
        <v>2</v>
      </c>
      <c r="L34" s="4">
        <f>transform!CD34</f>
        <v>2</v>
      </c>
      <c r="M34" s="4">
        <f>transform!CE34</f>
        <v>1</v>
      </c>
      <c r="N34" s="4">
        <f>transform!CF34</f>
        <v>2</v>
      </c>
      <c r="O34" s="4">
        <f>transform!CG34</f>
        <v>1</v>
      </c>
      <c r="P34" s="4">
        <f>transform!CH34</f>
        <v>2</v>
      </c>
      <c r="Q34" s="4">
        <f>transform!CI34</f>
        <v>0</v>
      </c>
      <c r="R34" s="4">
        <f>transform!CJ34</f>
        <v>2</v>
      </c>
      <c r="S34" s="4">
        <f t="shared" si="3"/>
        <v>0</v>
      </c>
      <c r="T34" s="4">
        <f t="shared" si="4"/>
        <v>0</v>
      </c>
      <c r="U34" s="4">
        <f t="shared" si="0"/>
        <v>1</v>
      </c>
      <c r="V34" s="4">
        <f>transform!CK34</f>
        <v>2</v>
      </c>
      <c r="W34" s="4">
        <f>transform!CL34</f>
        <v>0</v>
      </c>
      <c r="X34" s="4">
        <f>transform!CM34</f>
        <v>1</v>
      </c>
      <c r="Y34" s="4">
        <f t="shared" si="5"/>
        <v>0</v>
      </c>
      <c r="Z34" s="4">
        <f t="shared" si="6"/>
        <v>0</v>
      </c>
      <c r="AA34" s="4">
        <f t="shared" si="1"/>
        <v>1</v>
      </c>
      <c r="AB34" s="4">
        <f>transform!CN34</f>
        <v>2</v>
      </c>
      <c r="AC34" s="4">
        <f>transform!CO34</f>
        <v>0</v>
      </c>
      <c r="AD34" s="4">
        <f>transform!CP34</f>
        <v>1</v>
      </c>
      <c r="AE34" s="4">
        <f t="shared" si="7"/>
        <v>0</v>
      </c>
      <c r="AF34" s="4">
        <f t="shared" si="8"/>
        <v>0</v>
      </c>
      <c r="AG34" s="4">
        <f t="shared" si="2"/>
        <v>1</v>
      </c>
      <c r="AH34" s="4">
        <f>transform!CQ34</f>
        <v>2</v>
      </c>
      <c r="AI34" s="4">
        <f t="shared" si="9"/>
        <v>1</v>
      </c>
      <c r="AJ34" s="4">
        <f t="shared" si="10"/>
        <v>2</v>
      </c>
      <c r="AK34" s="4">
        <f t="shared" si="11"/>
        <v>1</v>
      </c>
      <c r="AL34" s="4">
        <f t="shared" si="12"/>
        <v>1</v>
      </c>
      <c r="AM34" s="4">
        <f t="shared" si="13"/>
        <v>1</v>
      </c>
      <c r="AN34" s="4">
        <f t="shared" si="14"/>
        <v>2</v>
      </c>
      <c r="AO34" s="4">
        <f t="shared" si="15"/>
        <v>1</v>
      </c>
      <c r="AP34" s="4">
        <f t="shared" si="16"/>
        <v>1</v>
      </c>
      <c r="AQ34" s="4">
        <f t="shared" si="17"/>
        <v>1</v>
      </c>
      <c r="AR34" s="4">
        <f t="shared" si="18"/>
        <v>1</v>
      </c>
    </row>
    <row r="35" spans="1:44">
      <c r="A35" s="4">
        <v>0</v>
      </c>
      <c r="B35" s="4">
        <f>transform!A37</f>
        <v>5</v>
      </c>
      <c r="C35" s="4">
        <f>transform!B37</f>
        <v>1</v>
      </c>
      <c r="D35" s="4">
        <f>transform!C37</f>
        <v>6</v>
      </c>
      <c r="E35" s="7">
        <f>transform!D37</f>
        <v>40883</v>
      </c>
      <c r="F35" s="8">
        <f>transform!E37</f>
        <v>2</v>
      </c>
      <c r="G35" s="4">
        <f>transform!F37</f>
        <v>1985</v>
      </c>
      <c r="H35" s="8">
        <f>transform!G37</f>
        <v>4</v>
      </c>
      <c r="I35" s="4">
        <f>transform!H37</f>
        <v>2</v>
      </c>
      <c r="J35" s="4">
        <f>COUNTIF(Raw!AR37:CA37,1)/(COUNTIF(Raw!AR37:CA37,1)+COUNTIF(Raw!AR37:CA37,0))</f>
        <v>0.0666666666666667</v>
      </c>
      <c r="K35" s="4">
        <f>transform!CC37</f>
        <v>1</v>
      </c>
      <c r="L35" s="4">
        <f>transform!CD37</f>
        <v>1</v>
      </c>
      <c r="M35" s="4">
        <f>transform!CE37</f>
        <v>1</v>
      </c>
      <c r="N35" s="4">
        <f>transform!CF37</f>
        <v>1</v>
      </c>
      <c r="O35" s="4">
        <f>transform!CG37</f>
        <v>1</v>
      </c>
      <c r="P35" s="4">
        <f>transform!CH37</f>
        <v>1</v>
      </c>
      <c r="Q35" s="4">
        <f>transform!CI37</f>
        <v>1</v>
      </c>
      <c r="R35" s="4">
        <f>transform!CJ37</f>
        <v>1</v>
      </c>
      <c r="S35" s="4">
        <f t="shared" si="3"/>
        <v>1</v>
      </c>
      <c r="T35" s="4">
        <f t="shared" si="4"/>
        <v>0</v>
      </c>
      <c r="U35" s="4">
        <f t="shared" si="0"/>
        <v>2</v>
      </c>
      <c r="V35" s="4">
        <f>transform!CK37</f>
        <v>1</v>
      </c>
      <c r="W35" s="4">
        <f>transform!CL37</f>
        <v>1</v>
      </c>
      <c r="X35" s="4">
        <f>transform!CM37</f>
        <v>1</v>
      </c>
      <c r="Y35" s="4">
        <f t="shared" si="5"/>
        <v>1</v>
      </c>
      <c r="Z35" s="4">
        <f t="shared" si="6"/>
        <v>0</v>
      </c>
      <c r="AA35" s="4">
        <f t="shared" si="1"/>
        <v>2</v>
      </c>
      <c r="AB35" s="4">
        <f>transform!CN37</f>
        <v>2</v>
      </c>
      <c r="AC35" s="4">
        <f>transform!CO37</f>
        <v>1</v>
      </c>
      <c r="AD35" s="4">
        <f>transform!CP37</f>
        <v>1</v>
      </c>
      <c r="AE35" s="4">
        <f t="shared" si="7"/>
        <v>1</v>
      </c>
      <c r="AF35" s="4">
        <f t="shared" si="8"/>
        <v>0</v>
      </c>
      <c r="AG35" s="4">
        <f t="shared" si="2"/>
        <v>2</v>
      </c>
      <c r="AH35" s="4">
        <f>transform!CQ37</f>
        <v>1</v>
      </c>
      <c r="AI35" s="4">
        <f t="shared" si="9"/>
        <v>2</v>
      </c>
      <c r="AJ35" s="4">
        <f t="shared" si="10"/>
        <v>1</v>
      </c>
      <c r="AK35" s="4">
        <f t="shared" si="11"/>
        <v>1</v>
      </c>
      <c r="AL35" s="4">
        <f t="shared" si="12"/>
        <v>1</v>
      </c>
      <c r="AM35" s="4">
        <f t="shared" si="13"/>
        <v>1</v>
      </c>
      <c r="AN35" s="4">
        <f t="shared" si="14"/>
        <v>1</v>
      </c>
      <c r="AO35" s="4">
        <f t="shared" si="15"/>
        <v>2</v>
      </c>
      <c r="AP35" s="4">
        <f t="shared" si="16"/>
        <v>1</v>
      </c>
      <c r="AQ35" s="4">
        <f t="shared" si="17"/>
        <v>1</v>
      </c>
      <c r="AR35" s="4">
        <f t="shared" si="18"/>
        <v>1</v>
      </c>
    </row>
    <row r="36" spans="1:44">
      <c r="A36" s="4">
        <v>0</v>
      </c>
      <c r="B36" s="4">
        <f>transform!A31</f>
        <v>4</v>
      </c>
      <c r="C36" s="4">
        <f>transform!B31</f>
        <v>1</v>
      </c>
      <c r="D36" s="4">
        <f>transform!C31</f>
        <v>8</v>
      </c>
      <c r="E36" s="7">
        <f>transform!D31</f>
        <v>40876</v>
      </c>
      <c r="F36" s="8">
        <f>transform!E31</f>
        <v>2</v>
      </c>
      <c r="G36" s="4">
        <f>transform!F31</f>
        <v>1993</v>
      </c>
      <c r="H36" s="8">
        <f>transform!G31</f>
        <v>1</v>
      </c>
      <c r="I36" s="8">
        <f>transform!H31</f>
        <v>1</v>
      </c>
      <c r="J36" s="4">
        <f>COUNTIF(Raw!AR31:CA31,1)/(COUNTIF(Raw!AR31:CA31,1)+COUNTIF(Raw!AR31:CA31,0))</f>
        <v>0.05</v>
      </c>
      <c r="K36" s="4">
        <f>transform!CC31</f>
        <v>1</v>
      </c>
      <c r="L36" s="4">
        <f>transform!CD31</f>
        <v>2</v>
      </c>
      <c r="M36" s="4">
        <f>transform!CE31</f>
        <v>1</v>
      </c>
      <c r="N36" s="4">
        <f>transform!CF31</f>
        <v>2</v>
      </c>
      <c r="O36" s="4">
        <f>transform!CG31</f>
        <v>1</v>
      </c>
      <c r="P36" s="4">
        <f>transform!CH31</f>
        <v>2</v>
      </c>
      <c r="Q36" s="4">
        <f>transform!CI31</f>
        <v>0</v>
      </c>
      <c r="R36" s="4">
        <f>transform!CJ31</f>
        <v>1</v>
      </c>
      <c r="S36" s="4">
        <f t="shared" si="3"/>
        <v>0</v>
      </c>
      <c r="T36" s="4">
        <f t="shared" si="4"/>
        <v>0</v>
      </c>
      <c r="U36" s="4">
        <f t="shared" si="0"/>
        <v>1</v>
      </c>
      <c r="V36" s="4">
        <f>transform!CK31</f>
        <v>2</v>
      </c>
      <c r="W36" s="4">
        <f>transform!CL31</f>
        <v>0</v>
      </c>
      <c r="X36" s="4">
        <f>transform!CM31</f>
        <v>1</v>
      </c>
      <c r="Y36" s="4">
        <f t="shared" si="5"/>
        <v>0</v>
      </c>
      <c r="Z36" s="4">
        <f t="shared" si="6"/>
        <v>0</v>
      </c>
      <c r="AA36" s="4">
        <f t="shared" si="1"/>
        <v>1</v>
      </c>
      <c r="AB36" s="4">
        <f>transform!CN31</f>
        <v>2</v>
      </c>
      <c r="AC36" s="4">
        <f>transform!CO31</f>
        <v>0</v>
      </c>
      <c r="AD36" s="4">
        <f>transform!CP31</f>
        <v>1</v>
      </c>
      <c r="AE36" s="4">
        <f t="shared" si="7"/>
        <v>0</v>
      </c>
      <c r="AF36" s="4">
        <f t="shared" si="8"/>
        <v>0</v>
      </c>
      <c r="AG36" s="4">
        <f t="shared" si="2"/>
        <v>1</v>
      </c>
      <c r="AH36" s="4">
        <f>transform!CQ31</f>
        <v>2</v>
      </c>
      <c r="AI36" s="4">
        <f t="shared" si="9"/>
        <v>1</v>
      </c>
      <c r="AJ36" s="4">
        <f t="shared" si="10"/>
        <v>1</v>
      </c>
      <c r="AK36" s="4">
        <f t="shared" si="11"/>
        <v>2</v>
      </c>
      <c r="AL36" s="4">
        <f t="shared" si="12"/>
        <v>1</v>
      </c>
      <c r="AM36" s="4">
        <f t="shared" si="13"/>
        <v>1</v>
      </c>
      <c r="AN36" s="4">
        <f t="shared" si="14"/>
        <v>2</v>
      </c>
      <c r="AO36" s="4">
        <f t="shared" si="15"/>
        <v>1</v>
      </c>
      <c r="AP36" s="4">
        <f t="shared" si="16"/>
        <v>1</v>
      </c>
      <c r="AQ36" s="4">
        <f t="shared" si="17"/>
        <v>1</v>
      </c>
      <c r="AR36" s="4">
        <f t="shared" si="18"/>
        <v>1</v>
      </c>
    </row>
    <row r="37" spans="1:44">
      <c r="A37" s="4">
        <v>0</v>
      </c>
      <c r="B37" s="4">
        <f>transform!A4</f>
        <v>1</v>
      </c>
      <c r="C37" s="4">
        <f>transform!B4</f>
        <v>1</v>
      </c>
      <c r="D37" s="4">
        <f>transform!C4</f>
        <v>3</v>
      </c>
      <c r="E37" s="7">
        <f>transform!D4</f>
        <v>40876</v>
      </c>
      <c r="F37" s="4">
        <f>transform!E4</f>
        <v>1</v>
      </c>
      <c r="G37" s="4">
        <f>transform!F4</f>
        <v>1987</v>
      </c>
      <c r="H37" s="8">
        <f>transform!G4</f>
        <v>2</v>
      </c>
      <c r="I37" s="8">
        <f>transform!H4</f>
        <v>1</v>
      </c>
      <c r="J37" s="4">
        <f>COUNTIF(Raw!AR4:CA4,1)/(COUNTIF(Raw!AR4:CA4,1)+COUNTIF(Raw!AR4:CA4,0))</f>
        <v>0.0476190476190476</v>
      </c>
      <c r="K37" s="4">
        <f>transform!CC4</f>
        <v>1</v>
      </c>
      <c r="L37" s="4">
        <f>transform!CD4</f>
        <v>2</v>
      </c>
      <c r="M37" s="4">
        <f>transform!CE4</f>
        <v>2</v>
      </c>
      <c r="N37" s="4">
        <f>transform!CF4</f>
        <v>2</v>
      </c>
      <c r="O37" s="4">
        <f>transform!CG4</f>
        <v>2</v>
      </c>
      <c r="P37" s="4">
        <f>transform!CH4</f>
        <v>2</v>
      </c>
      <c r="Q37" s="4">
        <f>transform!CI4</f>
        <v>0</v>
      </c>
      <c r="R37" s="4">
        <f>transform!CJ4</f>
        <v>2</v>
      </c>
      <c r="S37" s="4">
        <f t="shared" si="3"/>
        <v>0</v>
      </c>
      <c r="T37" s="4">
        <f t="shared" si="4"/>
        <v>0</v>
      </c>
      <c r="U37" s="4">
        <f t="shared" si="0"/>
        <v>1</v>
      </c>
      <c r="V37" s="4">
        <f>transform!CK4</f>
        <v>2</v>
      </c>
      <c r="W37" s="4">
        <f>transform!CL4</f>
        <v>0</v>
      </c>
      <c r="X37" s="4">
        <f>transform!CM4</f>
        <v>2</v>
      </c>
      <c r="Y37" s="4">
        <f t="shared" si="5"/>
        <v>0</v>
      </c>
      <c r="Z37" s="4">
        <f t="shared" si="6"/>
        <v>0</v>
      </c>
      <c r="AA37" s="4">
        <f t="shared" si="1"/>
        <v>1</v>
      </c>
      <c r="AB37" s="4">
        <f>transform!CN4</f>
        <v>1</v>
      </c>
      <c r="AC37" s="4">
        <f>transform!CO4</f>
        <v>0</v>
      </c>
      <c r="AD37" s="4">
        <f>transform!CP4</f>
        <v>2</v>
      </c>
      <c r="AE37" s="4">
        <f t="shared" si="7"/>
        <v>0</v>
      </c>
      <c r="AF37" s="4">
        <f t="shared" si="8"/>
        <v>0</v>
      </c>
      <c r="AG37" s="4">
        <f t="shared" si="2"/>
        <v>1</v>
      </c>
      <c r="AH37" s="4">
        <f>transform!CQ4</f>
        <v>1</v>
      </c>
      <c r="AI37" s="4">
        <f t="shared" si="9"/>
        <v>1</v>
      </c>
      <c r="AJ37" s="4">
        <f t="shared" si="10"/>
        <v>1</v>
      </c>
      <c r="AK37" s="4">
        <f t="shared" si="11"/>
        <v>2</v>
      </c>
      <c r="AL37" s="4">
        <f t="shared" si="12"/>
        <v>1</v>
      </c>
      <c r="AM37" s="4">
        <f t="shared" si="13"/>
        <v>1</v>
      </c>
      <c r="AN37" s="4">
        <f t="shared" si="14"/>
        <v>2</v>
      </c>
      <c r="AO37" s="4">
        <f t="shared" si="15"/>
        <v>1</v>
      </c>
      <c r="AP37" s="4">
        <f t="shared" si="16"/>
        <v>1</v>
      </c>
      <c r="AQ37" s="4">
        <f t="shared" si="17"/>
        <v>1</v>
      </c>
      <c r="AR37" s="4">
        <f t="shared" si="18"/>
        <v>1</v>
      </c>
    </row>
    <row r="38" spans="1:44">
      <c r="A38" s="4">
        <v>0</v>
      </c>
      <c r="B38" s="4">
        <f>transform!A26</f>
        <v>4</v>
      </c>
      <c r="C38" s="4">
        <f>transform!B26</f>
        <v>1</v>
      </c>
      <c r="D38" s="4">
        <f>transform!C26</f>
        <v>3</v>
      </c>
      <c r="E38" s="7">
        <f>transform!D26</f>
        <v>40883</v>
      </c>
      <c r="F38" s="8">
        <f>transform!E26</f>
        <v>2</v>
      </c>
      <c r="G38" s="4">
        <f>transform!F26</f>
        <v>1987</v>
      </c>
      <c r="H38" s="8">
        <f>transform!G26</f>
        <v>4</v>
      </c>
      <c r="I38" s="8">
        <f>transform!H26</f>
        <v>1</v>
      </c>
      <c r="J38" s="4">
        <f>COUNTIF(Raw!AR26:CA26,1)/(COUNTIF(Raw!AR26:CA26,1)+COUNTIF(Raw!AR26:CA26,0))</f>
        <v>0.0476190476190476</v>
      </c>
      <c r="K38" s="4">
        <f>transform!CC26</f>
        <v>1</v>
      </c>
      <c r="L38" s="4">
        <f>transform!CD26</f>
        <v>2</v>
      </c>
      <c r="M38" s="4">
        <f>transform!CE26</f>
        <v>1</v>
      </c>
      <c r="N38" s="4">
        <f>transform!CF26</f>
        <v>2</v>
      </c>
      <c r="O38" s="4">
        <f>transform!CG26</f>
        <v>1</v>
      </c>
      <c r="P38" s="4">
        <f>transform!CH26</f>
        <v>2</v>
      </c>
      <c r="Q38" s="4">
        <f>transform!CI26</f>
        <v>0</v>
      </c>
      <c r="R38" s="4">
        <f>transform!CJ26</f>
        <v>1</v>
      </c>
      <c r="S38" s="4">
        <f t="shared" si="3"/>
        <v>0</v>
      </c>
      <c r="T38" s="4">
        <f t="shared" si="4"/>
        <v>0</v>
      </c>
      <c r="U38" s="4">
        <f t="shared" si="0"/>
        <v>1</v>
      </c>
      <c r="V38" s="4">
        <f>transform!CK26</f>
        <v>2</v>
      </c>
      <c r="W38" s="4">
        <f>transform!CL26</f>
        <v>0</v>
      </c>
      <c r="X38" s="4">
        <f>transform!CM26</f>
        <v>1</v>
      </c>
      <c r="Y38" s="4">
        <f t="shared" si="5"/>
        <v>0</v>
      </c>
      <c r="Z38" s="4">
        <f t="shared" si="6"/>
        <v>0</v>
      </c>
      <c r="AA38" s="4">
        <f t="shared" si="1"/>
        <v>1</v>
      </c>
      <c r="AB38" s="4">
        <f>transform!CN26</f>
        <v>2</v>
      </c>
      <c r="AC38" s="4">
        <f>transform!CO26</f>
        <v>0</v>
      </c>
      <c r="AD38" s="4">
        <f>transform!CP26</f>
        <v>1</v>
      </c>
      <c r="AE38" s="4">
        <f t="shared" si="7"/>
        <v>0</v>
      </c>
      <c r="AF38" s="4">
        <f t="shared" si="8"/>
        <v>0</v>
      </c>
      <c r="AG38" s="4">
        <f t="shared" si="2"/>
        <v>1</v>
      </c>
      <c r="AH38" s="4">
        <f>transform!CQ26</f>
        <v>2</v>
      </c>
      <c r="AI38" s="4">
        <f t="shared" si="9"/>
        <v>1</v>
      </c>
      <c r="AJ38" s="4">
        <f t="shared" si="10"/>
        <v>1</v>
      </c>
      <c r="AK38" s="4">
        <f t="shared" si="11"/>
        <v>2</v>
      </c>
      <c r="AL38" s="4">
        <f t="shared" si="12"/>
        <v>1</v>
      </c>
      <c r="AM38" s="4">
        <f t="shared" si="13"/>
        <v>1</v>
      </c>
      <c r="AN38" s="4">
        <f t="shared" si="14"/>
        <v>2</v>
      </c>
      <c r="AO38" s="4">
        <f t="shared" si="15"/>
        <v>1</v>
      </c>
      <c r="AP38" s="4">
        <f t="shared" si="16"/>
        <v>1</v>
      </c>
      <c r="AQ38" s="4">
        <f t="shared" si="17"/>
        <v>1</v>
      </c>
      <c r="AR38" s="4">
        <f t="shared" si="18"/>
        <v>1</v>
      </c>
    </row>
    <row r="39" spans="1:44">
      <c r="A39" s="4">
        <v>0</v>
      </c>
      <c r="B39" s="4">
        <f>transform!A65</f>
        <v>4</v>
      </c>
      <c r="C39" s="4">
        <f>transform!B65</f>
        <v>2</v>
      </c>
      <c r="D39" s="4">
        <f>transform!C65</f>
        <v>3</v>
      </c>
      <c r="E39" s="7">
        <f>transform!D65</f>
        <v>40876</v>
      </c>
      <c r="F39" s="8">
        <f>transform!E65</f>
        <v>2</v>
      </c>
      <c r="G39" s="4">
        <f>transform!F65</f>
        <v>1993</v>
      </c>
      <c r="H39" s="8">
        <f>transform!G65</f>
        <v>3</v>
      </c>
      <c r="I39" s="8">
        <f>transform!H65</f>
        <v>1</v>
      </c>
      <c r="J39" s="4">
        <f>COUNTIF(Raw!AR65:CA65,1)/(COUNTIF(Raw!AR65:CA65,1)+COUNTIF(Raw!AR65:CA65,0))</f>
        <v>0.0476190476190476</v>
      </c>
      <c r="K39" s="4">
        <f>transform!CC65</f>
        <v>2</v>
      </c>
      <c r="L39" s="4">
        <f>transform!CD65</f>
        <v>2</v>
      </c>
      <c r="M39" s="4">
        <f>transform!CE65</f>
        <v>1</v>
      </c>
      <c r="N39" s="4">
        <f>transform!CF65</f>
        <v>1</v>
      </c>
      <c r="O39" s="4">
        <f>transform!CG65</f>
        <v>1</v>
      </c>
      <c r="P39" s="4">
        <f>transform!CH65</f>
        <v>1</v>
      </c>
      <c r="Q39" s="4">
        <f>transform!CI65</f>
        <v>0</v>
      </c>
      <c r="R39" s="4">
        <f>transform!CJ65</f>
        <v>2</v>
      </c>
      <c r="S39" s="4">
        <f t="shared" si="3"/>
        <v>0</v>
      </c>
      <c r="T39" s="4">
        <f t="shared" si="4"/>
        <v>0</v>
      </c>
      <c r="U39" s="4">
        <f t="shared" si="0"/>
        <v>1</v>
      </c>
      <c r="V39" s="4">
        <f>transform!CK65</f>
        <v>2</v>
      </c>
      <c r="W39" s="4">
        <f>transform!CL65</f>
        <v>1</v>
      </c>
      <c r="X39" s="4">
        <f>transform!CM65</f>
        <v>1</v>
      </c>
      <c r="Y39" s="4">
        <f t="shared" si="5"/>
        <v>1</v>
      </c>
      <c r="Z39" s="4">
        <f t="shared" si="6"/>
        <v>0</v>
      </c>
      <c r="AA39" s="4">
        <f t="shared" si="1"/>
        <v>2</v>
      </c>
      <c r="AB39" s="4">
        <f>transform!CN65</f>
        <v>2</v>
      </c>
      <c r="AC39" s="4">
        <f>transform!CO65</f>
        <v>1</v>
      </c>
      <c r="AD39" s="4">
        <f>transform!CP65</f>
        <v>1</v>
      </c>
      <c r="AE39" s="4">
        <f t="shared" si="7"/>
        <v>1</v>
      </c>
      <c r="AF39" s="4">
        <f t="shared" si="8"/>
        <v>0</v>
      </c>
      <c r="AG39" s="4">
        <f t="shared" si="2"/>
        <v>2</v>
      </c>
      <c r="AH39" s="4">
        <f>transform!CQ65</f>
        <v>1</v>
      </c>
      <c r="AI39" s="4">
        <f t="shared" si="9"/>
        <v>1</v>
      </c>
      <c r="AJ39" s="4">
        <f t="shared" si="10"/>
        <v>2</v>
      </c>
      <c r="AK39" s="4">
        <f t="shared" si="11"/>
        <v>1</v>
      </c>
      <c r="AL39" s="4">
        <f t="shared" si="12"/>
        <v>1</v>
      </c>
      <c r="AM39" s="4">
        <f t="shared" si="13"/>
        <v>1</v>
      </c>
      <c r="AN39" s="4">
        <f t="shared" si="14"/>
        <v>2</v>
      </c>
      <c r="AO39" s="4">
        <f t="shared" si="15"/>
        <v>1</v>
      </c>
      <c r="AP39" s="4">
        <f t="shared" si="16"/>
        <v>1</v>
      </c>
      <c r="AQ39" s="4">
        <f t="shared" si="17"/>
        <v>1</v>
      </c>
      <c r="AR39" s="4">
        <f t="shared" si="18"/>
        <v>1</v>
      </c>
    </row>
    <row r="40" spans="1:44">
      <c r="A40" s="4">
        <v>0</v>
      </c>
      <c r="B40" s="4">
        <f>transform!A54</f>
        <v>2</v>
      </c>
      <c r="C40" s="4">
        <f>transform!B54</f>
        <v>2</v>
      </c>
      <c r="D40" s="4">
        <f>transform!C54</f>
        <v>9</v>
      </c>
      <c r="E40" s="7">
        <f>transform!D54</f>
        <v>40876</v>
      </c>
      <c r="F40" s="4">
        <f>transform!E54</f>
        <v>1</v>
      </c>
      <c r="G40" s="4">
        <f>transform!F54</f>
        <v>1987</v>
      </c>
      <c r="H40" s="8">
        <f>transform!G54</f>
        <v>4</v>
      </c>
      <c r="I40" s="8">
        <f>transform!H54</f>
        <v>1</v>
      </c>
      <c r="J40" s="4">
        <f>COUNTIF(Raw!AR54:CA54,1)/(COUNTIF(Raw!AR54:CA54,1)+COUNTIF(Raw!AR54:CA54,0))</f>
        <v>0.0357142857142857</v>
      </c>
      <c r="K40" s="4">
        <f>transform!CC54</f>
        <v>1</v>
      </c>
      <c r="L40" s="4">
        <f>transform!CD54</f>
        <v>2</v>
      </c>
      <c r="M40" s="4">
        <f>transform!CE54</f>
        <v>1</v>
      </c>
      <c r="N40" s="4">
        <f>transform!CF54</f>
        <v>2</v>
      </c>
      <c r="O40" s="4">
        <f>transform!CG54</f>
        <v>1</v>
      </c>
      <c r="P40" s="4">
        <f>transform!CH54</f>
        <v>2</v>
      </c>
      <c r="Q40" s="4">
        <f>transform!CI54</f>
        <v>0</v>
      </c>
      <c r="R40" s="4">
        <f>transform!CJ54</f>
        <v>1</v>
      </c>
      <c r="S40" s="4">
        <f t="shared" si="3"/>
        <v>0</v>
      </c>
      <c r="T40" s="4">
        <f t="shared" si="4"/>
        <v>0</v>
      </c>
      <c r="U40" s="4">
        <f t="shared" si="0"/>
        <v>1</v>
      </c>
      <c r="V40" s="4">
        <f>transform!CK54</f>
        <v>2</v>
      </c>
      <c r="W40" s="4">
        <f>transform!CL54</f>
        <v>0</v>
      </c>
      <c r="X40" s="4">
        <f>transform!CM54</f>
        <v>1</v>
      </c>
      <c r="Y40" s="4">
        <f t="shared" si="5"/>
        <v>0</v>
      </c>
      <c r="Z40" s="4">
        <f t="shared" si="6"/>
        <v>0</v>
      </c>
      <c r="AA40" s="4">
        <f t="shared" si="1"/>
        <v>1</v>
      </c>
      <c r="AB40" s="4">
        <f>transform!CN54</f>
        <v>2</v>
      </c>
      <c r="AC40" s="4">
        <f>transform!CO54</f>
        <v>0</v>
      </c>
      <c r="AD40" s="4">
        <f>transform!CP54</f>
        <v>1</v>
      </c>
      <c r="AE40" s="4">
        <f t="shared" si="7"/>
        <v>0</v>
      </c>
      <c r="AF40" s="4">
        <f t="shared" si="8"/>
        <v>0</v>
      </c>
      <c r="AG40" s="4">
        <f t="shared" si="2"/>
        <v>1</v>
      </c>
      <c r="AH40" s="4">
        <f>transform!CQ54</f>
        <v>2</v>
      </c>
      <c r="AI40" s="4">
        <f t="shared" si="9"/>
        <v>1</v>
      </c>
      <c r="AJ40" s="4">
        <f t="shared" si="10"/>
        <v>1</v>
      </c>
      <c r="AK40" s="4">
        <f t="shared" si="11"/>
        <v>2</v>
      </c>
      <c r="AL40" s="4">
        <f t="shared" si="12"/>
        <v>1</v>
      </c>
      <c r="AM40" s="4">
        <f t="shared" si="13"/>
        <v>1</v>
      </c>
      <c r="AN40" s="4">
        <f t="shared" si="14"/>
        <v>2</v>
      </c>
      <c r="AO40" s="4">
        <f t="shared" si="15"/>
        <v>1</v>
      </c>
      <c r="AP40" s="4">
        <f t="shared" si="16"/>
        <v>1</v>
      </c>
      <c r="AQ40" s="4">
        <f t="shared" si="17"/>
        <v>1</v>
      </c>
      <c r="AR40" s="4">
        <f t="shared" si="18"/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9"/>
  <sheetViews>
    <sheetView workbookViewId="0">
      <selection activeCell="AF9" sqref="AF9"/>
    </sheetView>
  </sheetViews>
  <sheetFormatPr defaultColWidth="8.83636363636364" defaultRowHeight="14"/>
  <cols>
    <col min="1" max="4" width="8.83636363636364" style="4"/>
    <col min="5" max="5" width="15.5" style="4" customWidth="1"/>
    <col min="6" max="6" width="9.66363636363636" style="4" customWidth="1"/>
    <col min="7" max="7" width="9.33636363636364" style="4" customWidth="1"/>
    <col min="8" max="8" width="8.83636363636364" style="4"/>
    <col min="9" max="9" width="13.1636363636364" style="4" customWidth="1"/>
    <col min="10" max="10" width="12.1636363636364" style="4" customWidth="1"/>
    <col min="11" max="12" width="8" style="4" customWidth="1"/>
    <col min="13" max="20" width="8.83636363636364" style="4"/>
    <col min="21" max="21" width="9.66363636363636" style="4" customWidth="1"/>
    <col min="22" max="26" width="8.83636363636364" style="4"/>
    <col min="27" max="27" width="9.83636363636364" style="4" customWidth="1"/>
    <col min="28" max="32" width="8.83636363636364" style="4"/>
    <col min="33" max="33" width="9.66363636363636" style="4" customWidth="1"/>
    <col min="34" max="16384" width="8.83636363636364" style="4"/>
  </cols>
  <sheetData>
    <row r="1" ht="14.75" spans="1:44">
      <c r="A1" s="5" t="s">
        <v>542</v>
      </c>
      <c r="B1" s="5" t="s">
        <v>0</v>
      </c>
      <c r="C1" s="5" t="s">
        <v>323</v>
      </c>
      <c r="D1" s="5" t="s">
        <v>1</v>
      </c>
      <c r="E1" s="5" t="s">
        <v>324</v>
      </c>
      <c r="F1" s="5" t="s">
        <v>325</v>
      </c>
      <c r="G1" s="5" t="s">
        <v>326</v>
      </c>
      <c r="H1" s="5" t="s">
        <v>5</v>
      </c>
      <c r="I1" s="5" t="s">
        <v>327</v>
      </c>
      <c r="J1" s="5" t="s">
        <v>585</v>
      </c>
      <c r="K1" s="5" t="s">
        <v>400</v>
      </c>
      <c r="L1" s="5" t="s">
        <v>401</v>
      </c>
      <c r="M1" s="5" t="s">
        <v>402</v>
      </c>
      <c r="N1" s="5" t="s">
        <v>403</v>
      </c>
      <c r="O1" s="5" t="s">
        <v>404</v>
      </c>
      <c r="P1" s="5" t="s">
        <v>405</v>
      </c>
      <c r="Q1" s="5" t="s">
        <v>406</v>
      </c>
      <c r="R1" s="5" t="s">
        <v>407</v>
      </c>
      <c r="S1" s="5" t="s">
        <v>545</v>
      </c>
      <c r="T1" s="5" t="s">
        <v>546</v>
      </c>
      <c r="U1" s="5" t="s">
        <v>547</v>
      </c>
      <c r="V1" s="5" t="s">
        <v>408</v>
      </c>
      <c r="W1" s="5" t="s">
        <v>409</v>
      </c>
      <c r="X1" s="5" t="s">
        <v>410</v>
      </c>
      <c r="Y1" s="5" t="s">
        <v>548</v>
      </c>
      <c r="Z1" s="5" t="s">
        <v>549</v>
      </c>
      <c r="AA1" s="5" t="s">
        <v>550</v>
      </c>
      <c r="AB1" s="5" t="s">
        <v>411</v>
      </c>
      <c r="AC1" s="5" t="s">
        <v>412</v>
      </c>
      <c r="AD1" s="5" t="s">
        <v>413</v>
      </c>
      <c r="AE1" s="5" t="s">
        <v>551</v>
      </c>
      <c r="AF1" s="5" t="s">
        <v>552</v>
      </c>
      <c r="AG1" s="5" t="s">
        <v>553</v>
      </c>
      <c r="AH1" s="5" t="s">
        <v>414</v>
      </c>
      <c r="AI1" s="6" t="s">
        <v>554</v>
      </c>
      <c r="AJ1" s="6" t="s">
        <v>555</v>
      </c>
      <c r="AK1" s="6" t="s">
        <v>556</v>
      </c>
      <c r="AL1" s="6" t="s">
        <v>557</v>
      </c>
      <c r="AM1" s="5" t="s">
        <v>566</v>
      </c>
      <c r="AN1" s="5" t="s">
        <v>567</v>
      </c>
      <c r="AO1" s="5" t="s">
        <v>568</v>
      </c>
      <c r="AP1" s="5" t="s">
        <v>569</v>
      </c>
      <c r="AQ1" s="5" t="s">
        <v>570</v>
      </c>
      <c r="AR1" s="5" t="s">
        <v>571</v>
      </c>
    </row>
    <row r="2" spans="1:44">
      <c r="A2" s="4">
        <v>0</v>
      </c>
      <c r="B2" s="4">
        <f>transform!A6</f>
        <v>1</v>
      </c>
      <c r="C2" s="4">
        <f>transform!B6</f>
        <v>1</v>
      </c>
      <c r="D2" s="4">
        <f>transform!C6</f>
        <v>5</v>
      </c>
      <c r="E2" s="7">
        <f>transform!D6</f>
        <v>40876</v>
      </c>
      <c r="F2" s="4">
        <f>transform!E6</f>
        <v>1</v>
      </c>
      <c r="G2" s="4">
        <f>transform!F6</f>
        <v>1989</v>
      </c>
      <c r="H2" s="8">
        <f>transform!G6</f>
        <v>3</v>
      </c>
      <c r="I2" s="8">
        <f>transform!H6</f>
        <v>1</v>
      </c>
      <c r="J2" s="4">
        <v>1</v>
      </c>
      <c r="K2" s="4">
        <f>transform!CC6</f>
        <v>2</v>
      </c>
      <c r="L2" s="4">
        <f>transform!CD6</f>
        <v>2</v>
      </c>
      <c r="M2" s="4">
        <f>transform!CE6</f>
        <v>2</v>
      </c>
      <c r="N2" s="4">
        <f>transform!CF6</f>
        <v>2</v>
      </c>
      <c r="O2" s="4">
        <f>transform!CG6</f>
        <v>2</v>
      </c>
      <c r="P2" s="4">
        <f>transform!CH6</f>
        <v>2</v>
      </c>
      <c r="Q2" s="4">
        <f>transform!CI6</f>
        <v>1</v>
      </c>
      <c r="R2" s="4">
        <f>transform!CJ6</f>
        <v>2</v>
      </c>
      <c r="S2" s="4">
        <f>IF(Q2=1,IF(R2=1,1,0),0)</f>
        <v>0</v>
      </c>
      <c r="T2" s="4">
        <f>IF(Q2=1,IF(R2=2,1,0),0)</f>
        <v>1</v>
      </c>
      <c r="U2" s="4">
        <f t="shared" ref="U2:U39" si="0">IF(Q2=1,R2+1,IF(NOT(R2=0),1,0))</f>
        <v>3</v>
      </c>
      <c r="V2" s="4">
        <f>transform!CK6</f>
        <v>2</v>
      </c>
      <c r="W2" s="4">
        <f>transform!CL6</f>
        <v>1</v>
      </c>
      <c r="X2" s="4">
        <f>transform!CM6</f>
        <v>2</v>
      </c>
      <c r="Y2" s="4">
        <f>IF(W2=1,IF(X2=1,1,0),0)</f>
        <v>0</v>
      </c>
      <c r="Z2" s="4">
        <f>IF(W2=1,IF(X2=2,1,0),0)</f>
        <v>1</v>
      </c>
      <c r="AA2" s="4">
        <f t="shared" ref="AA2:AA39" si="1">IF(W2=1,X2+1,IF(NOT(X2=0),1,0))</f>
        <v>3</v>
      </c>
      <c r="AB2" s="4">
        <f>transform!CN6</f>
        <v>2</v>
      </c>
      <c r="AC2" s="4">
        <f>transform!CO6</f>
        <v>1</v>
      </c>
      <c r="AD2" s="4">
        <f>transform!CP6</f>
        <v>2</v>
      </c>
      <c r="AE2" s="4">
        <f>IF(AC2=1,IF(AD2=1,1,0),0)</f>
        <v>0</v>
      </c>
      <c r="AF2" s="4">
        <f>IF(AC2=1,IF(AD2=2,1,0),0)</f>
        <v>1</v>
      </c>
      <c r="AG2" s="4">
        <f t="shared" ref="AG2:AG39" si="2">IF(AC2=1,AD2+1,IF(NOT(AD2=0),1,0))</f>
        <v>3</v>
      </c>
      <c r="AH2" s="4">
        <f>transform!CQ6</f>
        <v>2</v>
      </c>
      <c r="AI2" s="4">
        <f>IF(AND($K2=1,$L2=1),2,1)</f>
        <v>1</v>
      </c>
      <c r="AJ2" s="4">
        <f>IF(AND($K2=2,$L2=2),2,1)</f>
        <v>2</v>
      </c>
      <c r="AK2" s="4">
        <f>IF(AND($K2=1,$L2=2),2,1)</f>
        <v>1</v>
      </c>
      <c r="AL2" s="4">
        <f>IF(AND($K2=2,$L2=1),2,1)</f>
        <v>1</v>
      </c>
      <c r="AM2" s="4">
        <f>IF(AND($Q2=0,$V2=1),2,1)</f>
        <v>1</v>
      </c>
      <c r="AN2" s="4">
        <f>IF(AND($Q2=0,$V2=2),2,1)</f>
        <v>1</v>
      </c>
      <c r="AO2" s="4">
        <f>IF(AND($Q2=1,$R2=1,$V2=1),2,1)</f>
        <v>1</v>
      </c>
      <c r="AP2" s="4">
        <f>IF(AND($Q2=1,$R2=2,$V2=2),2,1)</f>
        <v>2</v>
      </c>
      <c r="AQ2" s="4">
        <f>IF(AND($Q2=1,$R2=1,$V2=2),2,1)</f>
        <v>1</v>
      </c>
      <c r="AR2" s="4">
        <f>IF(AND($Q2=1,$R2=2,$V2=1),2,1)</f>
        <v>1</v>
      </c>
    </row>
    <row r="3" spans="1:44">
      <c r="A3" s="4">
        <v>0</v>
      </c>
      <c r="B3" s="4">
        <f>transform!A11</f>
        <v>2</v>
      </c>
      <c r="C3" s="4">
        <f>transform!B11</f>
        <v>1</v>
      </c>
      <c r="D3" s="4">
        <f>transform!C11</f>
        <v>3</v>
      </c>
      <c r="E3" s="7">
        <f>transform!D11</f>
        <v>40876</v>
      </c>
      <c r="F3" s="4">
        <f>transform!E11</f>
        <v>1</v>
      </c>
      <c r="G3" s="4">
        <f>transform!F11</f>
        <v>1982</v>
      </c>
      <c r="H3" s="8">
        <f>transform!G11</f>
        <v>5</v>
      </c>
      <c r="I3" s="8">
        <f>transform!H11</f>
        <v>1</v>
      </c>
      <c r="J3" s="4">
        <v>1</v>
      </c>
      <c r="K3" s="4">
        <f>transform!CC11</f>
        <v>2</v>
      </c>
      <c r="L3" s="4">
        <f>transform!CD11</f>
        <v>2</v>
      </c>
      <c r="M3" s="4">
        <f>transform!CE11</f>
        <v>2</v>
      </c>
      <c r="N3" s="4">
        <f>transform!CF11</f>
        <v>2</v>
      </c>
      <c r="O3" s="4">
        <f>transform!CG11</f>
        <v>2</v>
      </c>
      <c r="P3" s="4">
        <f>transform!CH11</f>
        <v>2</v>
      </c>
      <c r="Q3" s="4">
        <f>transform!CI11</f>
        <v>0</v>
      </c>
      <c r="R3" s="4">
        <f>transform!CJ11</f>
        <v>2</v>
      </c>
      <c r="S3" s="4">
        <f t="shared" ref="S3:S39" si="3">IF(Q3=1,IF(R3=1,1,0),0)</f>
        <v>0</v>
      </c>
      <c r="T3" s="4">
        <f t="shared" ref="T3:T39" si="4">IF(Q3=1,IF(R3=2,1,0),0)</f>
        <v>0</v>
      </c>
      <c r="U3" s="4">
        <f t="shared" si="0"/>
        <v>1</v>
      </c>
      <c r="V3" s="4">
        <f>transform!CK11</f>
        <v>2</v>
      </c>
      <c r="W3" s="4">
        <f>transform!CL11</f>
        <v>0</v>
      </c>
      <c r="X3" s="4">
        <f>transform!CM11</f>
        <v>2</v>
      </c>
      <c r="Y3" s="4">
        <f t="shared" ref="Y3:Y39" si="5">IF(W3=1,IF(X3=1,1,0),0)</f>
        <v>0</v>
      </c>
      <c r="Z3" s="4">
        <f t="shared" ref="Z3:Z39" si="6">IF(W3=1,IF(X3=2,1,0),0)</f>
        <v>0</v>
      </c>
      <c r="AA3" s="4">
        <f t="shared" si="1"/>
        <v>1</v>
      </c>
      <c r="AB3" s="4">
        <f>transform!CN11</f>
        <v>2</v>
      </c>
      <c r="AC3" s="4">
        <f>transform!CO11</f>
        <v>0</v>
      </c>
      <c r="AD3" s="4">
        <f>transform!CP11</f>
        <v>2</v>
      </c>
      <c r="AE3" s="4">
        <f t="shared" ref="AE3:AE39" si="7">IF(AC3=1,IF(AD3=1,1,0),0)</f>
        <v>0</v>
      </c>
      <c r="AF3" s="4">
        <f t="shared" ref="AF3:AF39" si="8">IF(AC3=1,IF(AD3=2,1,0),0)</f>
        <v>0</v>
      </c>
      <c r="AG3" s="4">
        <f t="shared" si="2"/>
        <v>1</v>
      </c>
      <c r="AH3" s="4">
        <f>transform!CQ11</f>
        <v>2</v>
      </c>
      <c r="AI3" s="4">
        <f t="shared" ref="AI3:AI39" si="9">IF(AND($K3=1,$L3=1),2,1)</f>
        <v>1</v>
      </c>
      <c r="AJ3" s="4">
        <f t="shared" ref="AJ3:AJ39" si="10">IF(AND($K3=2,$L3=2),2,1)</f>
        <v>2</v>
      </c>
      <c r="AK3" s="4">
        <f t="shared" ref="AK3:AK39" si="11">IF(AND($K3=1,$L3=2),2,1)</f>
        <v>1</v>
      </c>
      <c r="AL3" s="4">
        <f t="shared" ref="AL3:AL39" si="12">IF(AND($K3=2,$L3=1),2,1)</f>
        <v>1</v>
      </c>
      <c r="AM3" s="4">
        <f t="shared" ref="AM3:AM39" si="13">IF(AND($Q3=0,$V3=1),2,1)</f>
        <v>1</v>
      </c>
      <c r="AN3" s="4">
        <f t="shared" ref="AN3:AN39" si="14">IF(AND($Q3=0,$V3=2),2,1)</f>
        <v>2</v>
      </c>
      <c r="AO3" s="4">
        <f t="shared" ref="AO3:AO39" si="15">IF(AND($Q3=1,$R3=1,$V3=1),2,1)</f>
        <v>1</v>
      </c>
      <c r="AP3" s="4">
        <f t="shared" ref="AP3:AP39" si="16">IF(AND($Q3=1,$R3=2,$V3=2),2,1)</f>
        <v>1</v>
      </c>
      <c r="AQ3" s="4">
        <f t="shared" ref="AQ3:AQ39" si="17">IF(AND($Q3=1,$R3=1,$V3=2),2,1)</f>
        <v>1</v>
      </c>
      <c r="AR3" s="4">
        <f t="shared" ref="AR3:AR39" si="18">IF(AND($Q3=1,$R3=2,$V3=1),2,1)</f>
        <v>1</v>
      </c>
    </row>
    <row r="4" spans="1:44">
      <c r="A4" s="4">
        <v>0</v>
      </c>
      <c r="B4" s="4">
        <f>transform!A16</f>
        <v>2</v>
      </c>
      <c r="C4" s="4">
        <f>transform!B16</f>
        <v>1</v>
      </c>
      <c r="D4" s="4">
        <f>transform!C16</f>
        <v>8</v>
      </c>
      <c r="E4" s="7">
        <f>transform!D16</f>
        <v>40876</v>
      </c>
      <c r="F4" s="4">
        <f>transform!E16</f>
        <v>1</v>
      </c>
      <c r="G4" s="4">
        <f>transform!F16</f>
        <v>1986</v>
      </c>
      <c r="H4" s="8">
        <f>transform!G16</f>
        <v>6</v>
      </c>
      <c r="I4" s="8">
        <f>transform!H16</f>
        <v>1</v>
      </c>
      <c r="J4" s="4">
        <v>0.714285714285714</v>
      </c>
      <c r="K4" s="4">
        <f>transform!CC16</f>
        <v>2</v>
      </c>
      <c r="L4" s="4">
        <f>transform!CD16</f>
        <v>1</v>
      </c>
      <c r="M4" s="4">
        <f>transform!CE16</f>
        <v>2</v>
      </c>
      <c r="N4" s="4">
        <f>transform!CF16</f>
        <v>1</v>
      </c>
      <c r="O4" s="4">
        <f>transform!CG16</f>
        <v>2</v>
      </c>
      <c r="P4" s="4">
        <f>transform!CH16</f>
        <v>1</v>
      </c>
      <c r="Q4" s="4">
        <f>transform!CI16</f>
        <v>0</v>
      </c>
      <c r="R4" s="4">
        <f>transform!CJ16</f>
        <v>2</v>
      </c>
      <c r="S4" s="4">
        <f t="shared" si="3"/>
        <v>0</v>
      </c>
      <c r="T4" s="4">
        <f t="shared" si="4"/>
        <v>0</v>
      </c>
      <c r="U4" s="4">
        <f t="shared" si="0"/>
        <v>1</v>
      </c>
      <c r="V4" s="4">
        <f>transform!CK16</f>
        <v>1</v>
      </c>
      <c r="W4" s="4">
        <f>transform!CL16</f>
        <v>0</v>
      </c>
      <c r="X4" s="4">
        <f>transform!CM16</f>
        <v>2</v>
      </c>
      <c r="Y4" s="4">
        <f t="shared" si="5"/>
        <v>0</v>
      </c>
      <c r="Z4" s="4">
        <f t="shared" si="6"/>
        <v>0</v>
      </c>
      <c r="AA4" s="4">
        <f t="shared" si="1"/>
        <v>1</v>
      </c>
      <c r="AB4" s="4">
        <f>transform!CN16</f>
        <v>1</v>
      </c>
      <c r="AC4" s="4">
        <f>transform!CO16</f>
        <v>0</v>
      </c>
      <c r="AD4" s="4">
        <f>transform!CP16</f>
        <v>2</v>
      </c>
      <c r="AE4" s="4">
        <f t="shared" si="7"/>
        <v>0</v>
      </c>
      <c r="AF4" s="4">
        <f t="shared" si="8"/>
        <v>0</v>
      </c>
      <c r="AG4" s="4">
        <f t="shared" si="2"/>
        <v>1</v>
      </c>
      <c r="AH4" s="4">
        <f>transform!CQ16</f>
        <v>1</v>
      </c>
      <c r="AI4" s="4">
        <f t="shared" si="9"/>
        <v>1</v>
      </c>
      <c r="AJ4" s="4">
        <f t="shared" si="10"/>
        <v>1</v>
      </c>
      <c r="AK4" s="4">
        <f t="shared" si="11"/>
        <v>1</v>
      </c>
      <c r="AL4" s="4">
        <f t="shared" si="12"/>
        <v>2</v>
      </c>
      <c r="AM4" s="4">
        <f t="shared" si="13"/>
        <v>2</v>
      </c>
      <c r="AN4" s="4">
        <f t="shared" si="14"/>
        <v>1</v>
      </c>
      <c r="AO4" s="4">
        <f t="shared" si="15"/>
        <v>1</v>
      </c>
      <c r="AP4" s="4">
        <f t="shared" si="16"/>
        <v>1</v>
      </c>
      <c r="AQ4" s="4">
        <f t="shared" si="17"/>
        <v>1</v>
      </c>
      <c r="AR4" s="4">
        <f t="shared" si="18"/>
        <v>1</v>
      </c>
    </row>
    <row r="5" spans="1:44">
      <c r="A5" s="4">
        <v>0</v>
      </c>
      <c r="B5" s="4">
        <f>transform!A12</f>
        <v>2</v>
      </c>
      <c r="C5" s="4">
        <f>transform!B12</f>
        <v>1</v>
      </c>
      <c r="D5" s="4">
        <f>transform!C12</f>
        <v>4</v>
      </c>
      <c r="E5" s="7">
        <f>transform!D12</f>
        <v>40876</v>
      </c>
      <c r="F5" s="4">
        <f>transform!E12</f>
        <v>1</v>
      </c>
      <c r="G5" s="4">
        <f>transform!F12</f>
        <v>1985</v>
      </c>
      <c r="H5" s="8">
        <f>transform!G12</f>
        <v>4</v>
      </c>
      <c r="I5" s="8">
        <f>transform!H12</f>
        <v>1</v>
      </c>
      <c r="J5" s="4">
        <v>0.666666666666667</v>
      </c>
      <c r="K5" s="4">
        <f>transform!CC12</f>
        <v>2</v>
      </c>
      <c r="L5" s="4">
        <f>transform!CD12</f>
        <v>2</v>
      </c>
      <c r="M5" s="4">
        <f>transform!CE12</f>
        <v>2</v>
      </c>
      <c r="N5" s="4">
        <f>transform!CF12</f>
        <v>1</v>
      </c>
      <c r="O5" s="4">
        <f>transform!CG12</f>
        <v>1</v>
      </c>
      <c r="P5" s="4">
        <f>transform!CH12</f>
        <v>2</v>
      </c>
      <c r="Q5" s="4">
        <f>transform!CI12</f>
        <v>1</v>
      </c>
      <c r="R5" s="4">
        <f>transform!CJ12</f>
        <v>2</v>
      </c>
      <c r="S5" s="4">
        <f t="shared" si="3"/>
        <v>0</v>
      </c>
      <c r="T5" s="4">
        <f t="shared" si="4"/>
        <v>1</v>
      </c>
      <c r="U5" s="4">
        <f t="shared" si="0"/>
        <v>3</v>
      </c>
      <c r="V5" s="4">
        <f>transform!CK12</f>
        <v>2</v>
      </c>
      <c r="W5" s="4">
        <f>transform!CL12</f>
        <v>1</v>
      </c>
      <c r="X5" s="4">
        <f>transform!CM12</f>
        <v>2</v>
      </c>
      <c r="Y5" s="4">
        <f t="shared" si="5"/>
        <v>0</v>
      </c>
      <c r="Z5" s="4">
        <f t="shared" si="6"/>
        <v>1</v>
      </c>
      <c r="AA5" s="4">
        <f t="shared" si="1"/>
        <v>3</v>
      </c>
      <c r="AB5" s="4">
        <f>transform!CN12</f>
        <v>2</v>
      </c>
      <c r="AC5" s="4">
        <f>transform!CO12</f>
        <v>1</v>
      </c>
      <c r="AD5" s="4">
        <f>transform!CP12</f>
        <v>1</v>
      </c>
      <c r="AE5" s="4">
        <f t="shared" si="7"/>
        <v>1</v>
      </c>
      <c r="AF5" s="4">
        <f t="shared" si="8"/>
        <v>0</v>
      </c>
      <c r="AG5" s="4">
        <f t="shared" si="2"/>
        <v>2</v>
      </c>
      <c r="AH5" s="4">
        <f>transform!CQ12</f>
        <v>2</v>
      </c>
      <c r="AI5" s="4">
        <f t="shared" si="9"/>
        <v>1</v>
      </c>
      <c r="AJ5" s="4">
        <f t="shared" si="10"/>
        <v>2</v>
      </c>
      <c r="AK5" s="4">
        <f t="shared" si="11"/>
        <v>1</v>
      </c>
      <c r="AL5" s="4">
        <f t="shared" si="12"/>
        <v>1</v>
      </c>
      <c r="AM5" s="4">
        <f t="shared" si="13"/>
        <v>1</v>
      </c>
      <c r="AN5" s="4">
        <f t="shared" si="14"/>
        <v>1</v>
      </c>
      <c r="AO5" s="4">
        <f t="shared" si="15"/>
        <v>1</v>
      </c>
      <c r="AP5" s="4">
        <f t="shared" si="16"/>
        <v>2</v>
      </c>
      <c r="AQ5" s="4">
        <f t="shared" si="17"/>
        <v>1</v>
      </c>
      <c r="AR5" s="4">
        <f t="shared" si="18"/>
        <v>1</v>
      </c>
    </row>
    <row r="6" spans="1:44">
      <c r="A6" s="4">
        <v>0</v>
      </c>
      <c r="B6" s="4">
        <f>transform!A2</f>
        <v>1</v>
      </c>
      <c r="C6" s="4">
        <f>transform!B2</f>
        <v>1</v>
      </c>
      <c r="D6" s="4">
        <f>transform!C2</f>
        <v>1</v>
      </c>
      <c r="E6" s="7">
        <f>transform!D2</f>
        <v>40876</v>
      </c>
      <c r="F6" s="4">
        <f>transform!E2</f>
        <v>1</v>
      </c>
      <c r="G6" s="4">
        <f>transform!F2</f>
        <v>1991</v>
      </c>
      <c r="H6" s="8">
        <f>transform!G2</f>
        <v>1</v>
      </c>
      <c r="I6" s="8">
        <f>transform!H2</f>
        <v>1</v>
      </c>
      <c r="J6" s="4">
        <v>0.571428571428571</v>
      </c>
      <c r="K6" s="4">
        <f>transform!CC2</f>
        <v>2</v>
      </c>
      <c r="L6" s="4">
        <f>transform!CD2</f>
        <v>2</v>
      </c>
      <c r="M6" s="4">
        <f>transform!CE2</f>
        <v>2</v>
      </c>
      <c r="N6" s="4">
        <f>transform!CF2</f>
        <v>2</v>
      </c>
      <c r="O6" s="4">
        <f>transform!CG2</f>
        <v>2</v>
      </c>
      <c r="P6" s="4">
        <f>transform!CH2</f>
        <v>2</v>
      </c>
      <c r="Q6" s="4">
        <f>transform!CI2</f>
        <v>1</v>
      </c>
      <c r="R6" s="4">
        <f>transform!CJ2</f>
        <v>2</v>
      </c>
      <c r="S6" s="4">
        <f t="shared" si="3"/>
        <v>0</v>
      </c>
      <c r="T6" s="4">
        <f t="shared" si="4"/>
        <v>1</v>
      </c>
      <c r="U6" s="4">
        <f t="shared" si="0"/>
        <v>3</v>
      </c>
      <c r="V6" s="4">
        <f>transform!CK2</f>
        <v>2</v>
      </c>
      <c r="W6" s="4">
        <f>transform!CL2</f>
        <v>1</v>
      </c>
      <c r="X6" s="4">
        <f>transform!CM2</f>
        <v>1</v>
      </c>
      <c r="Y6" s="4">
        <f t="shared" si="5"/>
        <v>1</v>
      </c>
      <c r="Z6" s="4">
        <f t="shared" si="6"/>
        <v>0</v>
      </c>
      <c r="AA6" s="4">
        <f t="shared" si="1"/>
        <v>2</v>
      </c>
      <c r="AB6" s="4">
        <f>transform!CN2</f>
        <v>2</v>
      </c>
      <c r="AC6" s="4">
        <f>transform!CO2</f>
        <v>1</v>
      </c>
      <c r="AD6" s="4">
        <f>transform!CP2</f>
        <v>2</v>
      </c>
      <c r="AE6" s="4">
        <f t="shared" si="7"/>
        <v>0</v>
      </c>
      <c r="AF6" s="4">
        <f t="shared" si="8"/>
        <v>1</v>
      </c>
      <c r="AG6" s="4">
        <f t="shared" si="2"/>
        <v>3</v>
      </c>
      <c r="AH6" s="4">
        <f>transform!CQ2</f>
        <v>1</v>
      </c>
      <c r="AI6" s="4">
        <f t="shared" si="9"/>
        <v>1</v>
      </c>
      <c r="AJ6" s="4">
        <f t="shared" si="10"/>
        <v>2</v>
      </c>
      <c r="AK6" s="4">
        <f t="shared" si="11"/>
        <v>1</v>
      </c>
      <c r="AL6" s="4">
        <f t="shared" si="12"/>
        <v>1</v>
      </c>
      <c r="AM6" s="4">
        <f t="shared" si="13"/>
        <v>1</v>
      </c>
      <c r="AN6" s="4">
        <f t="shared" si="14"/>
        <v>1</v>
      </c>
      <c r="AO6" s="4">
        <f t="shared" si="15"/>
        <v>1</v>
      </c>
      <c r="AP6" s="4">
        <f t="shared" si="16"/>
        <v>2</v>
      </c>
      <c r="AQ6" s="4">
        <f t="shared" si="17"/>
        <v>1</v>
      </c>
      <c r="AR6" s="4">
        <f t="shared" si="18"/>
        <v>1</v>
      </c>
    </row>
    <row r="7" spans="1:44">
      <c r="A7" s="4">
        <v>0</v>
      </c>
      <c r="B7" s="4">
        <f>transform!A23</f>
        <v>3</v>
      </c>
      <c r="C7" s="4">
        <f>transform!B23</f>
        <v>1</v>
      </c>
      <c r="D7" s="4">
        <f>transform!C23</f>
        <v>7</v>
      </c>
      <c r="E7" s="7">
        <f>transform!D23</f>
        <v>40876</v>
      </c>
      <c r="F7" s="8">
        <f>transform!E23</f>
        <v>2</v>
      </c>
      <c r="G7" s="4">
        <f>transform!F23</f>
        <v>1988</v>
      </c>
      <c r="H7" s="8">
        <f>transform!G23</f>
        <v>3</v>
      </c>
      <c r="I7" s="8">
        <f>transform!H23</f>
        <v>1</v>
      </c>
      <c r="J7" s="4">
        <v>0.571428571428571</v>
      </c>
      <c r="K7" s="4">
        <f>transform!CC23</f>
        <v>2</v>
      </c>
      <c r="L7" s="4">
        <f>transform!CD23</f>
        <v>1</v>
      </c>
      <c r="M7" s="4">
        <f>transform!CE23</f>
        <v>2</v>
      </c>
      <c r="N7" s="4">
        <f>transform!CF23</f>
        <v>1</v>
      </c>
      <c r="O7" s="4">
        <f>transform!CG23</f>
        <v>2</v>
      </c>
      <c r="P7" s="4">
        <f>transform!CH23</f>
        <v>1</v>
      </c>
      <c r="Q7" s="4">
        <f>transform!CI23</f>
        <v>1</v>
      </c>
      <c r="R7" s="4">
        <f>transform!CJ23</f>
        <v>2</v>
      </c>
      <c r="S7" s="4">
        <f t="shared" si="3"/>
        <v>0</v>
      </c>
      <c r="T7" s="4">
        <f t="shared" si="4"/>
        <v>1</v>
      </c>
      <c r="U7" s="4">
        <f t="shared" si="0"/>
        <v>3</v>
      </c>
      <c r="V7" s="4">
        <f>transform!CK23</f>
        <v>2</v>
      </c>
      <c r="W7" s="4">
        <f>transform!CL23</f>
        <v>0</v>
      </c>
      <c r="X7" s="4">
        <f>transform!CM23</f>
        <v>2</v>
      </c>
      <c r="Y7" s="4">
        <f t="shared" si="5"/>
        <v>0</v>
      </c>
      <c r="Z7" s="4">
        <f t="shared" si="6"/>
        <v>0</v>
      </c>
      <c r="AA7" s="4">
        <f t="shared" si="1"/>
        <v>1</v>
      </c>
      <c r="AB7" s="4">
        <f>transform!CN23</f>
        <v>1</v>
      </c>
      <c r="AC7" s="4">
        <f>transform!CO23</f>
        <v>0</v>
      </c>
      <c r="AD7" s="4">
        <f>transform!CP23</f>
        <v>2</v>
      </c>
      <c r="AE7" s="4">
        <f t="shared" si="7"/>
        <v>0</v>
      </c>
      <c r="AF7" s="4">
        <f t="shared" si="8"/>
        <v>0</v>
      </c>
      <c r="AG7" s="4">
        <f t="shared" si="2"/>
        <v>1</v>
      </c>
      <c r="AH7" s="4">
        <f>transform!CQ23</f>
        <v>1</v>
      </c>
      <c r="AI7" s="4">
        <f t="shared" si="9"/>
        <v>1</v>
      </c>
      <c r="AJ7" s="4">
        <f t="shared" si="10"/>
        <v>1</v>
      </c>
      <c r="AK7" s="4">
        <f t="shared" si="11"/>
        <v>1</v>
      </c>
      <c r="AL7" s="4">
        <f t="shared" si="12"/>
        <v>2</v>
      </c>
      <c r="AM7" s="4">
        <f t="shared" si="13"/>
        <v>1</v>
      </c>
      <c r="AN7" s="4">
        <f t="shared" si="14"/>
        <v>1</v>
      </c>
      <c r="AO7" s="4">
        <f t="shared" si="15"/>
        <v>1</v>
      </c>
      <c r="AP7" s="4">
        <f t="shared" si="16"/>
        <v>2</v>
      </c>
      <c r="AQ7" s="4">
        <f t="shared" si="17"/>
        <v>1</v>
      </c>
      <c r="AR7" s="4">
        <f t="shared" si="18"/>
        <v>1</v>
      </c>
    </row>
    <row r="8" spans="1:44">
      <c r="A8" s="4">
        <v>0</v>
      </c>
      <c r="B8" s="4">
        <f>transform!A39</f>
        <v>1</v>
      </c>
      <c r="C8" s="4">
        <f>transform!B39</f>
        <v>2</v>
      </c>
      <c r="D8" s="4">
        <f>transform!C39</f>
        <v>1</v>
      </c>
      <c r="E8" s="7">
        <f>transform!D39</f>
        <v>40876</v>
      </c>
      <c r="F8" s="4">
        <f>transform!E39</f>
        <v>1</v>
      </c>
      <c r="G8" s="4">
        <f>transform!F39</f>
        <v>1989</v>
      </c>
      <c r="H8" s="8">
        <f>transform!G39</f>
        <v>3</v>
      </c>
      <c r="I8" s="8">
        <f>transform!H39</f>
        <v>1</v>
      </c>
      <c r="J8" s="4">
        <v>0.571428571428571</v>
      </c>
      <c r="K8" s="4">
        <f>transform!CC39</f>
        <v>2</v>
      </c>
      <c r="L8" s="4">
        <f>transform!CD39</f>
        <v>2</v>
      </c>
      <c r="M8" s="4">
        <f>transform!CE39</f>
        <v>2</v>
      </c>
      <c r="N8" s="4">
        <f>transform!CF39</f>
        <v>2</v>
      </c>
      <c r="O8" s="4">
        <f>transform!CG39</f>
        <v>2</v>
      </c>
      <c r="P8" s="4">
        <f>transform!CH39</f>
        <v>2</v>
      </c>
      <c r="Q8" s="4">
        <f>transform!CI39</f>
        <v>1</v>
      </c>
      <c r="R8" s="4">
        <f>transform!CJ39</f>
        <v>2</v>
      </c>
      <c r="S8" s="4">
        <f t="shared" si="3"/>
        <v>0</v>
      </c>
      <c r="T8" s="4">
        <f t="shared" si="4"/>
        <v>1</v>
      </c>
      <c r="U8" s="4">
        <f t="shared" si="0"/>
        <v>3</v>
      </c>
      <c r="V8" s="4">
        <f>transform!CK39</f>
        <v>2</v>
      </c>
      <c r="W8" s="4">
        <f>transform!CL39</f>
        <v>1</v>
      </c>
      <c r="X8" s="4">
        <f>transform!CM39</f>
        <v>2</v>
      </c>
      <c r="Y8" s="4">
        <f t="shared" si="5"/>
        <v>0</v>
      </c>
      <c r="Z8" s="4">
        <f t="shared" si="6"/>
        <v>1</v>
      </c>
      <c r="AA8" s="4">
        <f t="shared" si="1"/>
        <v>3</v>
      </c>
      <c r="AB8" s="4">
        <f>transform!CN39</f>
        <v>2</v>
      </c>
      <c r="AC8" s="4">
        <f>transform!CO39</f>
        <v>1</v>
      </c>
      <c r="AD8" s="4">
        <f>transform!CP39</f>
        <v>2</v>
      </c>
      <c r="AE8" s="4">
        <f t="shared" si="7"/>
        <v>0</v>
      </c>
      <c r="AF8" s="4">
        <f t="shared" si="8"/>
        <v>1</v>
      </c>
      <c r="AG8" s="4">
        <f t="shared" si="2"/>
        <v>3</v>
      </c>
      <c r="AH8" s="4">
        <f>transform!CQ39</f>
        <v>2</v>
      </c>
      <c r="AI8" s="4">
        <f t="shared" si="9"/>
        <v>1</v>
      </c>
      <c r="AJ8" s="4">
        <f t="shared" si="10"/>
        <v>2</v>
      </c>
      <c r="AK8" s="4">
        <f t="shared" si="11"/>
        <v>1</v>
      </c>
      <c r="AL8" s="4">
        <f t="shared" si="12"/>
        <v>1</v>
      </c>
      <c r="AM8" s="4">
        <f t="shared" si="13"/>
        <v>1</v>
      </c>
      <c r="AN8" s="4">
        <f t="shared" si="14"/>
        <v>1</v>
      </c>
      <c r="AO8" s="4">
        <f t="shared" si="15"/>
        <v>1</v>
      </c>
      <c r="AP8" s="4">
        <f t="shared" si="16"/>
        <v>2</v>
      </c>
      <c r="AQ8" s="4">
        <f t="shared" si="17"/>
        <v>1</v>
      </c>
      <c r="AR8" s="4">
        <f t="shared" si="18"/>
        <v>1</v>
      </c>
    </row>
    <row r="9" spans="1:44">
      <c r="A9" s="4">
        <v>0</v>
      </c>
      <c r="B9" s="4">
        <f>transform!A40</f>
        <v>1</v>
      </c>
      <c r="C9" s="4">
        <f>transform!B40</f>
        <v>2</v>
      </c>
      <c r="D9" s="4">
        <f>transform!C40</f>
        <v>2</v>
      </c>
      <c r="E9" s="7">
        <f>transform!D40</f>
        <v>40876</v>
      </c>
      <c r="F9" s="4">
        <f>transform!E40</f>
        <v>1</v>
      </c>
      <c r="G9" s="4">
        <f>transform!F40</f>
        <v>1989</v>
      </c>
      <c r="H9" s="8">
        <f>transform!G40</f>
        <v>3</v>
      </c>
      <c r="I9" s="8">
        <f>transform!H40</f>
        <v>1</v>
      </c>
      <c r="J9" s="4">
        <v>0.571428571428571</v>
      </c>
      <c r="K9" s="4">
        <f>transform!CC40</f>
        <v>2</v>
      </c>
      <c r="L9" s="4">
        <f>transform!CD40</f>
        <v>2</v>
      </c>
      <c r="M9" s="4">
        <f>transform!CE40</f>
        <v>2</v>
      </c>
      <c r="N9" s="4">
        <f>transform!CF40</f>
        <v>2</v>
      </c>
      <c r="O9" s="4">
        <f>transform!CG40</f>
        <v>2</v>
      </c>
      <c r="P9" s="4">
        <f>transform!CH40</f>
        <v>2</v>
      </c>
      <c r="Q9" s="4">
        <f>transform!CI40</f>
        <v>1</v>
      </c>
      <c r="R9" s="4">
        <f>transform!CJ40</f>
        <v>2</v>
      </c>
      <c r="S9" s="4">
        <f t="shared" si="3"/>
        <v>0</v>
      </c>
      <c r="T9" s="4">
        <f t="shared" si="4"/>
        <v>1</v>
      </c>
      <c r="U9" s="4">
        <f t="shared" si="0"/>
        <v>3</v>
      </c>
      <c r="V9" s="4">
        <f>transform!CK40</f>
        <v>2</v>
      </c>
      <c r="W9" s="4">
        <f>transform!CL40</f>
        <v>1</v>
      </c>
      <c r="X9" s="4">
        <f>transform!CM40</f>
        <v>2</v>
      </c>
      <c r="Y9" s="4">
        <f t="shared" si="5"/>
        <v>0</v>
      </c>
      <c r="Z9" s="4">
        <f t="shared" si="6"/>
        <v>1</v>
      </c>
      <c r="AA9" s="4">
        <f t="shared" si="1"/>
        <v>3</v>
      </c>
      <c r="AB9" s="4">
        <f>transform!CN40</f>
        <v>2</v>
      </c>
      <c r="AC9" s="4">
        <f>transform!CO40</f>
        <v>0</v>
      </c>
      <c r="AD9" s="4">
        <f>transform!CP40</f>
        <v>2</v>
      </c>
      <c r="AE9" s="4">
        <f t="shared" si="7"/>
        <v>0</v>
      </c>
      <c r="AF9" s="4">
        <f t="shared" si="8"/>
        <v>0</v>
      </c>
      <c r="AG9" s="4">
        <f t="shared" si="2"/>
        <v>1</v>
      </c>
      <c r="AH9" s="4">
        <f>transform!CQ40</f>
        <v>2</v>
      </c>
      <c r="AI9" s="4">
        <f t="shared" si="9"/>
        <v>1</v>
      </c>
      <c r="AJ9" s="4">
        <f t="shared" si="10"/>
        <v>2</v>
      </c>
      <c r="AK9" s="4">
        <f t="shared" si="11"/>
        <v>1</v>
      </c>
      <c r="AL9" s="4">
        <f t="shared" si="12"/>
        <v>1</v>
      </c>
      <c r="AM9" s="4">
        <f t="shared" si="13"/>
        <v>1</v>
      </c>
      <c r="AN9" s="4">
        <f t="shared" si="14"/>
        <v>1</v>
      </c>
      <c r="AO9" s="4">
        <f t="shared" si="15"/>
        <v>1</v>
      </c>
      <c r="AP9" s="4">
        <f t="shared" si="16"/>
        <v>2</v>
      </c>
      <c r="AQ9" s="4">
        <f t="shared" si="17"/>
        <v>1</v>
      </c>
      <c r="AR9" s="4">
        <f t="shared" si="18"/>
        <v>1</v>
      </c>
    </row>
    <row r="10" spans="1:44">
      <c r="A10" s="4">
        <v>0</v>
      </c>
      <c r="B10" s="4">
        <f>transform!A43</f>
        <v>1</v>
      </c>
      <c r="C10" s="4">
        <f>transform!B43</f>
        <v>2</v>
      </c>
      <c r="D10" s="4">
        <f>transform!C43</f>
        <v>6</v>
      </c>
      <c r="E10" s="7">
        <f>transform!D43</f>
        <v>40892</v>
      </c>
      <c r="F10" s="4">
        <f>transform!E43</f>
        <v>1</v>
      </c>
      <c r="G10" s="4">
        <f>transform!F43</f>
        <v>1993</v>
      </c>
      <c r="H10" s="8">
        <f>transform!G43</f>
        <v>6</v>
      </c>
      <c r="I10" s="8">
        <f>transform!H43</f>
        <v>1</v>
      </c>
      <c r="J10" s="4">
        <v>0.571428571428571</v>
      </c>
      <c r="K10" s="4">
        <f>transform!CC43</f>
        <v>2</v>
      </c>
      <c r="L10" s="4">
        <f>transform!CD43</f>
        <v>2</v>
      </c>
      <c r="M10" s="4">
        <f>transform!CE43</f>
        <v>1</v>
      </c>
      <c r="N10" s="4">
        <f>transform!CF43</f>
        <v>1</v>
      </c>
      <c r="O10" s="4">
        <f>transform!CG43</f>
        <v>2</v>
      </c>
      <c r="P10" s="4">
        <f>transform!CH43</f>
        <v>2</v>
      </c>
      <c r="Q10" s="4">
        <f>transform!CI43</f>
        <v>1</v>
      </c>
      <c r="R10" s="4">
        <f>transform!CJ43</f>
        <v>1</v>
      </c>
      <c r="S10" s="4">
        <f t="shared" si="3"/>
        <v>1</v>
      </c>
      <c r="T10" s="4">
        <f t="shared" si="4"/>
        <v>0</v>
      </c>
      <c r="U10" s="4">
        <f t="shared" si="0"/>
        <v>2</v>
      </c>
      <c r="V10" s="4">
        <f>transform!CK43</f>
        <v>2</v>
      </c>
      <c r="W10" s="4">
        <f>transform!CL43</f>
        <v>0</v>
      </c>
      <c r="X10" s="4">
        <f>transform!CM43</f>
        <v>1</v>
      </c>
      <c r="Y10" s="4">
        <f t="shared" si="5"/>
        <v>0</v>
      </c>
      <c r="Z10" s="4">
        <f t="shared" si="6"/>
        <v>0</v>
      </c>
      <c r="AA10" s="4">
        <f t="shared" si="1"/>
        <v>1</v>
      </c>
      <c r="AB10" s="4">
        <f>transform!CN43</f>
        <v>1</v>
      </c>
      <c r="AC10" s="4">
        <f>transform!CO43</f>
        <v>0</v>
      </c>
      <c r="AD10" s="4">
        <f>transform!CP43</f>
        <v>1</v>
      </c>
      <c r="AE10" s="4">
        <f t="shared" si="7"/>
        <v>0</v>
      </c>
      <c r="AF10" s="4">
        <f t="shared" si="8"/>
        <v>0</v>
      </c>
      <c r="AG10" s="4">
        <f t="shared" si="2"/>
        <v>1</v>
      </c>
      <c r="AH10" s="4">
        <f>transform!CQ43</f>
        <v>2</v>
      </c>
      <c r="AI10" s="4">
        <f t="shared" si="9"/>
        <v>1</v>
      </c>
      <c r="AJ10" s="4">
        <f t="shared" si="10"/>
        <v>2</v>
      </c>
      <c r="AK10" s="4">
        <f t="shared" si="11"/>
        <v>1</v>
      </c>
      <c r="AL10" s="4">
        <f t="shared" si="12"/>
        <v>1</v>
      </c>
      <c r="AM10" s="4">
        <f t="shared" si="13"/>
        <v>1</v>
      </c>
      <c r="AN10" s="4">
        <f t="shared" si="14"/>
        <v>1</v>
      </c>
      <c r="AO10" s="4">
        <f t="shared" si="15"/>
        <v>1</v>
      </c>
      <c r="AP10" s="4">
        <f t="shared" si="16"/>
        <v>1</v>
      </c>
      <c r="AQ10" s="4">
        <f t="shared" si="17"/>
        <v>2</v>
      </c>
      <c r="AR10" s="4">
        <f t="shared" si="18"/>
        <v>1</v>
      </c>
    </row>
    <row r="11" spans="1:44">
      <c r="A11" s="4">
        <v>0</v>
      </c>
      <c r="B11" s="4">
        <f>transform!A45</f>
        <v>1</v>
      </c>
      <c r="C11" s="4">
        <f>transform!B45</f>
        <v>2</v>
      </c>
      <c r="D11" s="4">
        <f>transform!C45</f>
        <v>8</v>
      </c>
      <c r="E11" s="7">
        <f>transform!D45</f>
        <v>40876</v>
      </c>
      <c r="F11" s="4">
        <f>transform!E45</f>
        <v>1</v>
      </c>
      <c r="G11" s="4">
        <f>transform!F45</f>
        <v>1991</v>
      </c>
      <c r="H11" s="8">
        <f>transform!G45</f>
        <v>1</v>
      </c>
      <c r="I11" s="8">
        <f>transform!H45</f>
        <v>1</v>
      </c>
      <c r="J11" s="4">
        <v>0.571428571428571</v>
      </c>
      <c r="K11" s="4">
        <f>transform!CC45</f>
        <v>1</v>
      </c>
      <c r="L11" s="4">
        <f>transform!CD45</f>
        <v>1</v>
      </c>
      <c r="M11" s="4">
        <f>transform!CE45</f>
        <v>1</v>
      </c>
      <c r="N11" s="4">
        <f>transform!CF45</f>
        <v>2</v>
      </c>
      <c r="O11" s="4">
        <f>transform!CG45</f>
        <v>1</v>
      </c>
      <c r="P11" s="4">
        <f>transform!CH45</f>
        <v>1</v>
      </c>
      <c r="Q11" s="4">
        <f>transform!CI45</f>
        <v>0</v>
      </c>
      <c r="R11" s="4">
        <f>transform!CJ45</f>
        <v>2</v>
      </c>
      <c r="S11" s="4">
        <f t="shared" si="3"/>
        <v>0</v>
      </c>
      <c r="T11" s="4">
        <f t="shared" si="4"/>
        <v>0</v>
      </c>
      <c r="U11" s="4">
        <f t="shared" si="0"/>
        <v>1</v>
      </c>
      <c r="V11" s="4">
        <f>transform!CK45</f>
        <v>2</v>
      </c>
      <c r="W11" s="4">
        <f>transform!CL45</f>
        <v>1</v>
      </c>
      <c r="X11" s="4">
        <f>transform!CM45</f>
        <v>2</v>
      </c>
      <c r="Y11" s="4">
        <f t="shared" si="5"/>
        <v>0</v>
      </c>
      <c r="Z11" s="4">
        <f t="shared" si="6"/>
        <v>1</v>
      </c>
      <c r="AA11" s="4">
        <f t="shared" si="1"/>
        <v>3</v>
      </c>
      <c r="AB11" s="4">
        <f>transform!CN45</f>
        <v>1</v>
      </c>
      <c r="AC11" s="4">
        <f>transform!CO45</f>
        <v>1</v>
      </c>
      <c r="AD11" s="4">
        <f>transform!CP45</f>
        <v>2</v>
      </c>
      <c r="AE11" s="4">
        <f t="shared" si="7"/>
        <v>0</v>
      </c>
      <c r="AF11" s="4">
        <f t="shared" si="8"/>
        <v>1</v>
      </c>
      <c r="AG11" s="4">
        <f t="shared" si="2"/>
        <v>3</v>
      </c>
      <c r="AH11" s="4">
        <f>transform!CQ45</f>
        <v>1</v>
      </c>
      <c r="AI11" s="4">
        <f t="shared" si="9"/>
        <v>2</v>
      </c>
      <c r="AJ11" s="4">
        <f t="shared" si="10"/>
        <v>1</v>
      </c>
      <c r="AK11" s="4">
        <f t="shared" si="11"/>
        <v>1</v>
      </c>
      <c r="AL11" s="4">
        <f t="shared" si="12"/>
        <v>1</v>
      </c>
      <c r="AM11" s="4">
        <f t="shared" si="13"/>
        <v>1</v>
      </c>
      <c r="AN11" s="4">
        <f t="shared" si="14"/>
        <v>2</v>
      </c>
      <c r="AO11" s="4">
        <f t="shared" si="15"/>
        <v>1</v>
      </c>
      <c r="AP11" s="4">
        <f t="shared" si="16"/>
        <v>1</v>
      </c>
      <c r="AQ11" s="4">
        <f t="shared" si="17"/>
        <v>1</v>
      </c>
      <c r="AR11" s="4">
        <f t="shared" si="18"/>
        <v>1</v>
      </c>
    </row>
    <row r="12" spans="1:44">
      <c r="A12" s="4">
        <v>0</v>
      </c>
      <c r="B12" s="4">
        <f>transform!A61</f>
        <v>3</v>
      </c>
      <c r="C12" s="4">
        <f>transform!B61</f>
        <v>2</v>
      </c>
      <c r="D12" s="4">
        <f>transform!C61</f>
        <v>7</v>
      </c>
      <c r="E12" s="7">
        <f>transform!D61</f>
        <v>40876</v>
      </c>
      <c r="F12" s="4">
        <f>transform!E61</f>
        <v>1</v>
      </c>
      <c r="G12" s="4">
        <f>transform!F61</f>
        <v>1992</v>
      </c>
      <c r="H12" s="8">
        <f>transform!G61</f>
        <v>4</v>
      </c>
      <c r="I12" s="8">
        <f>transform!H61</f>
        <v>1</v>
      </c>
      <c r="J12" s="4">
        <v>0.571428571428571</v>
      </c>
      <c r="K12" s="4">
        <f>transform!CC61</f>
        <v>2</v>
      </c>
      <c r="L12" s="4">
        <f>transform!CD61</f>
        <v>1</v>
      </c>
      <c r="M12" s="4">
        <f>transform!CE61</f>
        <v>1</v>
      </c>
      <c r="N12" s="4">
        <f>transform!CF61</f>
        <v>2</v>
      </c>
      <c r="O12" s="4">
        <f>transform!CG61</f>
        <v>1</v>
      </c>
      <c r="P12" s="4">
        <f>transform!CH61</f>
        <v>2</v>
      </c>
      <c r="Q12" s="4">
        <f>transform!CI61</f>
        <v>1</v>
      </c>
      <c r="R12" s="4">
        <f>transform!CJ61</f>
        <v>1</v>
      </c>
      <c r="S12" s="4">
        <f t="shared" si="3"/>
        <v>1</v>
      </c>
      <c r="T12" s="4">
        <f t="shared" si="4"/>
        <v>0</v>
      </c>
      <c r="U12" s="4">
        <f t="shared" si="0"/>
        <v>2</v>
      </c>
      <c r="V12" s="4">
        <f>transform!CK61</f>
        <v>2</v>
      </c>
      <c r="W12" s="4">
        <f>transform!CL61</f>
        <v>1</v>
      </c>
      <c r="X12" s="4">
        <f>transform!CM61</f>
        <v>1</v>
      </c>
      <c r="Y12" s="4">
        <f t="shared" si="5"/>
        <v>1</v>
      </c>
      <c r="Z12" s="4">
        <f t="shared" si="6"/>
        <v>0</v>
      </c>
      <c r="AA12" s="4">
        <f t="shared" si="1"/>
        <v>2</v>
      </c>
      <c r="AB12" s="4">
        <f>transform!CN61</f>
        <v>2</v>
      </c>
      <c r="AC12" s="4">
        <f>transform!CO61</f>
        <v>1</v>
      </c>
      <c r="AD12" s="4">
        <f>transform!CP61</f>
        <v>1</v>
      </c>
      <c r="AE12" s="4">
        <f t="shared" si="7"/>
        <v>1</v>
      </c>
      <c r="AF12" s="4">
        <f t="shared" si="8"/>
        <v>0</v>
      </c>
      <c r="AG12" s="4">
        <f t="shared" si="2"/>
        <v>2</v>
      </c>
      <c r="AH12" s="4">
        <f>transform!CQ61</f>
        <v>2</v>
      </c>
      <c r="AI12" s="4">
        <f t="shared" si="9"/>
        <v>1</v>
      </c>
      <c r="AJ12" s="4">
        <f t="shared" si="10"/>
        <v>1</v>
      </c>
      <c r="AK12" s="4">
        <f t="shared" si="11"/>
        <v>1</v>
      </c>
      <c r="AL12" s="4">
        <f t="shared" si="12"/>
        <v>2</v>
      </c>
      <c r="AM12" s="4">
        <f t="shared" si="13"/>
        <v>1</v>
      </c>
      <c r="AN12" s="4">
        <f t="shared" si="14"/>
        <v>1</v>
      </c>
      <c r="AO12" s="4">
        <f t="shared" si="15"/>
        <v>1</v>
      </c>
      <c r="AP12" s="4">
        <f t="shared" si="16"/>
        <v>1</v>
      </c>
      <c r="AQ12" s="4">
        <f t="shared" si="17"/>
        <v>2</v>
      </c>
      <c r="AR12" s="4">
        <f t="shared" si="18"/>
        <v>1</v>
      </c>
    </row>
    <row r="13" spans="1:44">
      <c r="A13" s="4">
        <v>0</v>
      </c>
      <c r="B13" s="4">
        <f>transform!A10</f>
        <v>2</v>
      </c>
      <c r="C13" s="4">
        <f>transform!B10</f>
        <v>1</v>
      </c>
      <c r="D13" s="4">
        <f>transform!C10</f>
        <v>1</v>
      </c>
      <c r="E13" s="7">
        <f>transform!D10</f>
        <v>40876</v>
      </c>
      <c r="F13" s="4">
        <f>transform!E10</f>
        <v>1</v>
      </c>
      <c r="G13" s="4">
        <f>transform!F10</f>
        <v>1989</v>
      </c>
      <c r="H13" s="8">
        <f>transform!G10</f>
        <v>1</v>
      </c>
      <c r="I13" s="8">
        <f>transform!H10</f>
        <v>1</v>
      </c>
      <c r="J13" s="4">
        <v>0.5</v>
      </c>
      <c r="K13" s="4">
        <f>transform!CC10</f>
        <v>1</v>
      </c>
      <c r="L13" s="4">
        <f>transform!CD10</f>
        <v>2</v>
      </c>
      <c r="M13" s="4">
        <f>transform!CE10</f>
        <v>1</v>
      </c>
      <c r="N13" s="4">
        <f>transform!CF10</f>
        <v>2</v>
      </c>
      <c r="O13" s="4">
        <f>transform!CG10</f>
        <v>1</v>
      </c>
      <c r="P13" s="4">
        <f>transform!CH10</f>
        <v>2</v>
      </c>
      <c r="Q13" s="4">
        <f>transform!CI10</f>
        <v>1</v>
      </c>
      <c r="R13" s="4">
        <f>transform!CJ10</f>
        <v>1</v>
      </c>
      <c r="S13" s="4">
        <f t="shared" si="3"/>
        <v>1</v>
      </c>
      <c r="T13" s="4">
        <f t="shared" si="4"/>
        <v>0</v>
      </c>
      <c r="U13" s="4">
        <f t="shared" si="0"/>
        <v>2</v>
      </c>
      <c r="V13" s="4">
        <f>transform!CK10</f>
        <v>2</v>
      </c>
      <c r="W13" s="4">
        <f>transform!CL10</f>
        <v>0</v>
      </c>
      <c r="X13" s="4">
        <f>transform!CM10</f>
        <v>1</v>
      </c>
      <c r="Y13" s="4">
        <f t="shared" si="5"/>
        <v>0</v>
      </c>
      <c r="Z13" s="4">
        <f t="shared" si="6"/>
        <v>0</v>
      </c>
      <c r="AA13" s="4">
        <f t="shared" si="1"/>
        <v>1</v>
      </c>
      <c r="AB13" s="4">
        <f>transform!CN10</f>
        <v>2</v>
      </c>
      <c r="AC13" s="4">
        <f>transform!CO10</f>
        <v>0</v>
      </c>
      <c r="AD13" s="4">
        <f>transform!CP10</f>
        <v>1</v>
      </c>
      <c r="AE13" s="4">
        <f t="shared" si="7"/>
        <v>0</v>
      </c>
      <c r="AF13" s="4">
        <f t="shared" si="8"/>
        <v>0</v>
      </c>
      <c r="AG13" s="4">
        <f t="shared" si="2"/>
        <v>1</v>
      </c>
      <c r="AH13" s="4">
        <f>transform!CQ10</f>
        <v>2</v>
      </c>
      <c r="AI13" s="4">
        <f t="shared" si="9"/>
        <v>1</v>
      </c>
      <c r="AJ13" s="4">
        <f t="shared" si="10"/>
        <v>1</v>
      </c>
      <c r="AK13" s="4">
        <f t="shared" si="11"/>
        <v>2</v>
      </c>
      <c r="AL13" s="4">
        <f t="shared" si="12"/>
        <v>1</v>
      </c>
      <c r="AM13" s="4">
        <f t="shared" si="13"/>
        <v>1</v>
      </c>
      <c r="AN13" s="4">
        <f t="shared" si="14"/>
        <v>1</v>
      </c>
      <c r="AO13" s="4">
        <f t="shared" si="15"/>
        <v>1</v>
      </c>
      <c r="AP13" s="4">
        <f t="shared" si="16"/>
        <v>1</v>
      </c>
      <c r="AQ13" s="4">
        <f t="shared" si="17"/>
        <v>2</v>
      </c>
      <c r="AR13" s="4">
        <f t="shared" si="18"/>
        <v>1</v>
      </c>
    </row>
    <row r="14" spans="1:44">
      <c r="A14" s="4">
        <v>0</v>
      </c>
      <c r="B14" s="4">
        <f>transform!A22</f>
        <v>3</v>
      </c>
      <c r="C14" s="4">
        <f>transform!B22</f>
        <v>1</v>
      </c>
      <c r="D14" s="4">
        <f>transform!C22</f>
        <v>6</v>
      </c>
      <c r="E14" s="7">
        <f>transform!D22</f>
        <v>40876</v>
      </c>
      <c r="F14" s="8">
        <f>transform!E22</f>
        <v>2</v>
      </c>
      <c r="G14" s="4">
        <f>transform!F22</f>
        <v>1990</v>
      </c>
      <c r="H14" s="8">
        <f>transform!G22</f>
        <v>3</v>
      </c>
      <c r="I14" s="8">
        <f>transform!H22</f>
        <v>1</v>
      </c>
      <c r="J14" s="4">
        <v>0.428571428571429</v>
      </c>
      <c r="K14" s="4">
        <f>transform!CC22</f>
        <v>2</v>
      </c>
      <c r="L14" s="4">
        <f>transform!CD22</f>
        <v>2</v>
      </c>
      <c r="M14" s="4">
        <f>transform!CE22</f>
        <v>1</v>
      </c>
      <c r="N14" s="4">
        <f>transform!CF22</f>
        <v>2</v>
      </c>
      <c r="O14" s="4">
        <f>transform!CG22</f>
        <v>1</v>
      </c>
      <c r="P14" s="4">
        <f>transform!CH22</f>
        <v>2</v>
      </c>
      <c r="Q14" s="4">
        <f>transform!CI22</f>
        <v>1</v>
      </c>
      <c r="R14" s="4">
        <f>transform!CJ22</f>
        <v>2</v>
      </c>
      <c r="S14" s="4">
        <f t="shared" si="3"/>
        <v>0</v>
      </c>
      <c r="T14" s="4">
        <f t="shared" si="4"/>
        <v>1</v>
      </c>
      <c r="U14" s="4">
        <f t="shared" si="0"/>
        <v>3</v>
      </c>
      <c r="V14" s="4">
        <f>transform!CK22</f>
        <v>2</v>
      </c>
      <c r="W14" s="4">
        <f>transform!CL22</f>
        <v>0</v>
      </c>
      <c r="X14" s="4">
        <f>transform!CM22</f>
        <v>2</v>
      </c>
      <c r="Y14" s="4">
        <f t="shared" si="5"/>
        <v>0</v>
      </c>
      <c r="Z14" s="4">
        <f t="shared" si="6"/>
        <v>0</v>
      </c>
      <c r="AA14" s="4">
        <f t="shared" si="1"/>
        <v>1</v>
      </c>
      <c r="AB14" s="4">
        <f>transform!CN22</f>
        <v>2</v>
      </c>
      <c r="AC14" s="4">
        <f>transform!CO22</f>
        <v>0</v>
      </c>
      <c r="AD14" s="4">
        <f>transform!CP22</f>
        <v>1</v>
      </c>
      <c r="AE14" s="4">
        <f t="shared" si="7"/>
        <v>0</v>
      </c>
      <c r="AF14" s="4">
        <f t="shared" si="8"/>
        <v>0</v>
      </c>
      <c r="AG14" s="4">
        <f t="shared" si="2"/>
        <v>1</v>
      </c>
      <c r="AH14" s="4">
        <f>transform!CQ22</f>
        <v>2</v>
      </c>
      <c r="AI14" s="4">
        <f t="shared" si="9"/>
        <v>1</v>
      </c>
      <c r="AJ14" s="4">
        <f t="shared" si="10"/>
        <v>2</v>
      </c>
      <c r="AK14" s="4">
        <f t="shared" si="11"/>
        <v>1</v>
      </c>
      <c r="AL14" s="4">
        <f t="shared" si="12"/>
        <v>1</v>
      </c>
      <c r="AM14" s="4">
        <f t="shared" si="13"/>
        <v>1</v>
      </c>
      <c r="AN14" s="4">
        <f t="shared" si="14"/>
        <v>1</v>
      </c>
      <c r="AO14" s="4">
        <f t="shared" si="15"/>
        <v>1</v>
      </c>
      <c r="AP14" s="4">
        <f t="shared" si="16"/>
        <v>2</v>
      </c>
      <c r="AQ14" s="4">
        <f t="shared" si="17"/>
        <v>1</v>
      </c>
      <c r="AR14" s="4">
        <f t="shared" si="18"/>
        <v>1</v>
      </c>
    </row>
    <row r="15" spans="1:44">
      <c r="A15" s="4">
        <v>0</v>
      </c>
      <c r="B15" s="4">
        <f>transform!A41</f>
        <v>1</v>
      </c>
      <c r="C15" s="4">
        <f>transform!B41</f>
        <v>2</v>
      </c>
      <c r="D15" s="4">
        <f>transform!C41</f>
        <v>4</v>
      </c>
      <c r="E15" s="7">
        <f>transform!D41</f>
        <v>40876</v>
      </c>
      <c r="F15" s="4">
        <f>transform!E41</f>
        <v>1</v>
      </c>
      <c r="G15" s="4">
        <f>transform!F41</f>
        <v>1988</v>
      </c>
      <c r="H15" s="8">
        <f>transform!G41</f>
        <v>3</v>
      </c>
      <c r="I15" s="8">
        <f>transform!H41</f>
        <v>1</v>
      </c>
      <c r="J15" s="4">
        <v>0.428571428571429</v>
      </c>
      <c r="K15" s="4">
        <f>transform!CC41</f>
        <v>2</v>
      </c>
      <c r="L15" s="4">
        <f>transform!CD41</f>
        <v>2</v>
      </c>
      <c r="M15" s="4">
        <f>transform!CE41</f>
        <v>2</v>
      </c>
      <c r="N15" s="4">
        <f>transform!CF41</f>
        <v>1</v>
      </c>
      <c r="O15" s="4">
        <f>transform!CG41</f>
        <v>2</v>
      </c>
      <c r="P15" s="4">
        <f>transform!CH41</f>
        <v>1</v>
      </c>
      <c r="Q15" s="4">
        <f>transform!CI41</f>
        <v>1</v>
      </c>
      <c r="R15" s="4">
        <f>transform!CJ41</f>
        <v>2</v>
      </c>
      <c r="S15" s="4">
        <f t="shared" si="3"/>
        <v>0</v>
      </c>
      <c r="T15" s="4">
        <f t="shared" si="4"/>
        <v>1</v>
      </c>
      <c r="U15" s="4">
        <f t="shared" si="0"/>
        <v>3</v>
      </c>
      <c r="V15" s="4">
        <f>transform!CK41</f>
        <v>2</v>
      </c>
      <c r="W15" s="4">
        <f>transform!CL41</f>
        <v>1</v>
      </c>
      <c r="X15" s="4">
        <f>transform!CM41</f>
        <v>2</v>
      </c>
      <c r="Y15" s="4">
        <f t="shared" si="5"/>
        <v>0</v>
      </c>
      <c r="Z15" s="4">
        <f t="shared" si="6"/>
        <v>1</v>
      </c>
      <c r="AA15" s="4">
        <f t="shared" si="1"/>
        <v>3</v>
      </c>
      <c r="AB15" s="4">
        <f>transform!CN41</f>
        <v>1</v>
      </c>
      <c r="AC15" s="4">
        <f>transform!CO41</f>
        <v>0</v>
      </c>
      <c r="AD15" s="4">
        <f>transform!CP41</f>
        <v>1</v>
      </c>
      <c r="AE15" s="4">
        <f t="shared" si="7"/>
        <v>0</v>
      </c>
      <c r="AF15" s="4">
        <f t="shared" si="8"/>
        <v>0</v>
      </c>
      <c r="AG15" s="4">
        <f t="shared" si="2"/>
        <v>1</v>
      </c>
      <c r="AH15" s="4">
        <f>transform!CQ41</f>
        <v>2</v>
      </c>
      <c r="AI15" s="4">
        <f t="shared" si="9"/>
        <v>1</v>
      </c>
      <c r="AJ15" s="4">
        <f t="shared" si="10"/>
        <v>2</v>
      </c>
      <c r="AK15" s="4">
        <f t="shared" si="11"/>
        <v>1</v>
      </c>
      <c r="AL15" s="4">
        <f t="shared" si="12"/>
        <v>1</v>
      </c>
      <c r="AM15" s="4">
        <f t="shared" si="13"/>
        <v>1</v>
      </c>
      <c r="AN15" s="4">
        <f t="shared" si="14"/>
        <v>1</v>
      </c>
      <c r="AO15" s="4">
        <f t="shared" si="15"/>
        <v>1</v>
      </c>
      <c r="AP15" s="4">
        <f t="shared" si="16"/>
        <v>2</v>
      </c>
      <c r="AQ15" s="4">
        <f t="shared" si="17"/>
        <v>1</v>
      </c>
      <c r="AR15" s="4">
        <f t="shared" si="18"/>
        <v>1</v>
      </c>
    </row>
    <row r="16" spans="1:44">
      <c r="A16" s="4">
        <v>0</v>
      </c>
      <c r="B16" s="4">
        <f>transform!A57</f>
        <v>3</v>
      </c>
      <c r="C16" s="4">
        <f>transform!B57</f>
        <v>2</v>
      </c>
      <c r="D16" s="4">
        <f>transform!C57</f>
        <v>3</v>
      </c>
      <c r="E16" s="7">
        <f>transform!D57</f>
        <v>40876</v>
      </c>
      <c r="F16" s="4">
        <f>transform!E57</f>
        <v>1</v>
      </c>
      <c r="G16" s="4">
        <f>transform!F57</f>
        <v>1989</v>
      </c>
      <c r="H16" s="8">
        <f>transform!G57</f>
        <v>3</v>
      </c>
      <c r="I16" s="4">
        <f>transform!H57</f>
        <v>2</v>
      </c>
      <c r="J16" s="4">
        <v>0.428571428571429</v>
      </c>
      <c r="K16" s="4">
        <f>transform!CC57</f>
        <v>2</v>
      </c>
      <c r="L16" s="4">
        <f>transform!CD57</f>
        <v>2</v>
      </c>
      <c r="M16" s="4">
        <f>transform!CE57</f>
        <v>2</v>
      </c>
      <c r="N16" s="4">
        <f>transform!CF57</f>
        <v>2</v>
      </c>
      <c r="O16" s="4">
        <f>transform!CG57</f>
        <v>2</v>
      </c>
      <c r="P16" s="4">
        <f>transform!CH57</f>
        <v>2</v>
      </c>
      <c r="Q16" s="4">
        <f>transform!CI57</f>
        <v>0</v>
      </c>
      <c r="R16" s="4">
        <f>transform!CJ57</f>
        <v>2</v>
      </c>
      <c r="S16" s="4">
        <f t="shared" si="3"/>
        <v>0</v>
      </c>
      <c r="T16" s="4">
        <f t="shared" si="4"/>
        <v>0</v>
      </c>
      <c r="U16" s="4">
        <f t="shared" si="0"/>
        <v>1</v>
      </c>
      <c r="V16" s="4">
        <f>transform!CK57</f>
        <v>2</v>
      </c>
      <c r="W16" s="4">
        <f>transform!CL57</f>
        <v>0</v>
      </c>
      <c r="X16" s="4">
        <f>transform!CM57</f>
        <v>2</v>
      </c>
      <c r="Y16" s="4">
        <f t="shared" si="5"/>
        <v>0</v>
      </c>
      <c r="Z16" s="4">
        <f t="shared" si="6"/>
        <v>0</v>
      </c>
      <c r="AA16" s="4">
        <f t="shared" si="1"/>
        <v>1</v>
      </c>
      <c r="AB16" s="4">
        <f>transform!CN57</f>
        <v>2</v>
      </c>
      <c r="AC16" s="4">
        <f>transform!CO57</f>
        <v>0</v>
      </c>
      <c r="AD16" s="4">
        <f>transform!CP57</f>
        <v>2</v>
      </c>
      <c r="AE16" s="4">
        <f t="shared" si="7"/>
        <v>0</v>
      </c>
      <c r="AF16" s="4">
        <f t="shared" si="8"/>
        <v>0</v>
      </c>
      <c r="AG16" s="4">
        <f t="shared" si="2"/>
        <v>1</v>
      </c>
      <c r="AH16" s="4">
        <f>transform!CQ57</f>
        <v>2</v>
      </c>
      <c r="AI16" s="4">
        <f t="shared" si="9"/>
        <v>1</v>
      </c>
      <c r="AJ16" s="4">
        <f t="shared" si="10"/>
        <v>2</v>
      </c>
      <c r="AK16" s="4">
        <f t="shared" si="11"/>
        <v>1</v>
      </c>
      <c r="AL16" s="4">
        <f t="shared" si="12"/>
        <v>1</v>
      </c>
      <c r="AM16" s="4">
        <f t="shared" si="13"/>
        <v>1</v>
      </c>
      <c r="AN16" s="4">
        <f t="shared" si="14"/>
        <v>2</v>
      </c>
      <c r="AO16" s="4">
        <f t="shared" si="15"/>
        <v>1</v>
      </c>
      <c r="AP16" s="4">
        <f t="shared" si="16"/>
        <v>1</v>
      </c>
      <c r="AQ16" s="4">
        <f t="shared" si="17"/>
        <v>1</v>
      </c>
      <c r="AR16" s="4">
        <f t="shared" si="18"/>
        <v>1</v>
      </c>
    </row>
    <row r="17" spans="1:44">
      <c r="A17" s="4">
        <v>0</v>
      </c>
      <c r="B17" s="4">
        <f>transform!A59</f>
        <v>3</v>
      </c>
      <c r="C17" s="4">
        <f>transform!B59</f>
        <v>2</v>
      </c>
      <c r="D17" s="4">
        <f>transform!C59</f>
        <v>5</v>
      </c>
      <c r="E17" s="7">
        <f>transform!D59</f>
        <v>40879</v>
      </c>
      <c r="F17" s="4">
        <f>transform!E59</f>
        <v>1</v>
      </c>
      <c r="G17" s="4">
        <f>transform!F59</f>
        <v>1990</v>
      </c>
      <c r="H17" s="8">
        <f>transform!G59</f>
        <v>2</v>
      </c>
      <c r="I17" s="8">
        <f>transform!H59</f>
        <v>1</v>
      </c>
      <c r="J17" s="4">
        <v>0.428571428571429</v>
      </c>
      <c r="K17" s="4">
        <f>transform!CC59</f>
        <v>2</v>
      </c>
      <c r="L17" s="4">
        <f>transform!CD59</f>
        <v>2</v>
      </c>
      <c r="M17" s="4">
        <f>transform!CE59</f>
        <v>2</v>
      </c>
      <c r="N17" s="4">
        <f>transform!CF59</f>
        <v>2</v>
      </c>
      <c r="O17" s="4">
        <f>transform!CG59</f>
        <v>2</v>
      </c>
      <c r="P17" s="4">
        <f>transform!CH59</f>
        <v>2</v>
      </c>
      <c r="Q17" s="4">
        <f>transform!CI59</f>
        <v>1</v>
      </c>
      <c r="R17" s="4">
        <f>transform!CJ59</f>
        <v>2</v>
      </c>
      <c r="S17" s="4">
        <f t="shared" si="3"/>
        <v>0</v>
      </c>
      <c r="T17" s="4">
        <f t="shared" si="4"/>
        <v>1</v>
      </c>
      <c r="U17" s="4">
        <f t="shared" si="0"/>
        <v>3</v>
      </c>
      <c r="V17" s="4">
        <f>transform!CK59</f>
        <v>2</v>
      </c>
      <c r="W17" s="4">
        <f>transform!CL59</f>
        <v>1</v>
      </c>
      <c r="X17" s="4">
        <f>transform!CM59</f>
        <v>2</v>
      </c>
      <c r="Y17" s="4">
        <f t="shared" si="5"/>
        <v>0</v>
      </c>
      <c r="Z17" s="4">
        <f t="shared" si="6"/>
        <v>1</v>
      </c>
      <c r="AA17" s="4">
        <f t="shared" si="1"/>
        <v>3</v>
      </c>
      <c r="AB17" s="4">
        <f>transform!CN59</f>
        <v>2</v>
      </c>
      <c r="AC17" s="4">
        <f>transform!CO59</f>
        <v>1</v>
      </c>
      <c r="AD17" s="4">
        <f>transform!CP59</f>
        <v>2</v>
      </c>
      <c r="AE17" s="4">
        <f t="shared" si="7"/>
        <v>0</v>
      </c>
      <c r="AF17" s="4">
        <f t="shared" si="8"/>
        <v>1</v>
      </c>
      <c r="AG17" s="4">
        <f t="shared" si="2"/>
        <v>3</v>
      </c>
      <c r="AH17" s="4">
        <f>transform!CQ59</f>
        <v>2</v>
      </c>
      <c r="AI17" s="4">
        <f t="shared" si="9"/>
        <v>1</v>
      </c>
      <c r="AJ17" s="4">
        <f t="shared" si="10"/>
        <v>2</v>
      </c>
      <c r="AK17" s="4">
        <f t="shared" si="11"/>
        <v>1</v>
      </c>
      <c r="AL17" s="4">
        <f t="shared" si="12"/>
        <v>1</v>
      </c>
      <c r="AM17" s="4">
        <f t="shared" si="13"/>
        <v>1</v>
      </c>
      <c r="AN17" s="4">
        <f t="shared" si="14"/>
        <v>1</v>
      </c>
      <c r="AO17" s="4">
        <f t="shared" si="15"/>
        <v>1</v>
      </c>
      <c r="AP17" s="4">
        <f t="shared" si="16"/>
        <v>2</v>
      </c>
      <c r="AQ17" s="4">
        <f t="shared" si="17"/>
        <v>1</v>
      </c>
      <c r="AR17" s="4">
        <f t="shared" si="18"/>
        <v>1</v>
      </c>
    </row>
    <row r="18" spans="1:44">
      <c r="A18" s="4">
        <v>0</v>
      </c>
      <c r="B18" s="4">
        <f>transform!A63</f>
        <v>4</v>
      </c>
      <c r="C18" s="4">
        <f>transform!B63</f>
        <v>2</v>
      </c>
      <c r="D18" s="4">
        <f>transform!C63</f>
        <v>1</v>
      </c>
      <c r="E18" s="7">
        <f>transform!D63</f>
        <v>40876</v>
      </c>
      <c r="F18" s="8">
        <f>transform!E63</f>
        <v>2</v>
      </c>
      <c r="G18" s="4">
        <f>transform!F63</f>
        <v>1989</v>
      </c>
      <c r="H18" s="8">
        <f>transform!G63</f>
        <v>4</v>
      </c>
      <c r="I18" s="8">
        <f>transform!H63</f>
        <v>1</v>
      </c>
      <c r="J18" s="4">
        <v>0.428571428571429</v>
      </c>
      <c r="K18" s="4">
        <f>transform!CC63</f>
        <v>2</v>
      </c>
      <c r="L18" s="4">
        <f>transform!CD63</f>
        <v>2</v>
      </c>
      <c r="M18" s="4">
        <f>transform!CE63</f>
        <v>2</v>
      </c>
      <c r="N18" s="4">
        <f>transform!CF63</f>
        <v>2</v>
      </c>
      <c r="O18" s="4">
        <f>transform!CG63</f>
        <v>1</v>
      </c>
      <c r="P18" s="4">
        <f>transform!CH63</f>
        <v>2</v>
      </c>
      <c r="Q18" s="4">
        <f>transform!CI63</f>
        <v>1</v>
      </c>
      <c r="R18" s="4">
        <f>transform!CJ63</f>
        <v>2</v>
      </c>
      <c r="S18" s="4">
        <f t="shared" si="3"/>
        <v>0</v>
      </c>
      <c r="T18" s="4">
        <f t="shared" si="4"/>
        <v>1</v>
      </c>
      <c r="U18" s="4">
        <f t="shared" si="0"/>
        <v>3</v>
      </c>
      <c r="V18" s="4">
        <f>transform!CK63</f>
        <v>2</v>
      </c>
      <c r="W18" s="4">
        <f>transform!CL63</f>
        <v>1</v>
      </c>
      <c r="X18" s="4">
        <f>transform!CM63</f>
        <v>2</v>
      </c>
      <c r="Y18" s="4">
        <f t="shared" si="5"/>
        <v>0</v>
      </c>
      <c r="Z18" s="4">
        <f t="shared" si="6"/>
        <v>1</v>
      </c>
      <c r="AA18" s="4">
        <f t="shared" si="1"/>
        <v>3</v>
      </c>
      <c r="AB18" s="4">
        <f>transform!CN63</f>
        <v>2</v>
      </c>
      <c r="AC18" s="4">
        <f>transform!CO63</f>
        <v>0</v>
      </c>
      <c r="AD18" s="4">
        <f>transform!CP63</f>
        <v>1</v>
      </c>
      <c r="AE18" s="4">
        <f t="shared" si="7"/>
        <v>0</v>
      </c>
      <c r="AF18" s="4">
        <f t="shared" si="8"/>
        <v>0</v>
      </c>
      <c r="AG18" s="4">
        <f t="shared" si="2"/>
        <v>1</v>
      </c>
      <c r="AH18" s="4">
        <f>transform!CQ63</f>
        <v>2</v>
      </c>
      <c r="AI18" s="4">
        <f t="shared" si="9"/>
        <v>1</v>
      </c>
      <c r="AJ18" s="4">
        <f t="shared" si="10"/>
        <v>2</v>
      </c>
      <c r="AK18" s="4">
        <f t="shared" si="11"/>
        <v>1</v>
      </c>
      <c r="AL18" s="4">
        <f t="shared" si="12"/>
        <v>1</v>
      </c>
      <c r="AM18" s="4">
        <f t="shared" si="13"/>
        <v>1</v>
      </c>
      <c r="AN18" s="4">
        <f t="shared" si="14"/>
        <v>1</v>
      </c>
      <c r="AO18" s="4">
        <f t="shared" si="15"/>
        <v>1</v>
      </c>
      <c r="AP18" s="4">
        <f t="shared" si="16"/>
        <v>2</v>
      </c>
      <c r="AQ18" s="4">
        <f t="shared" si="17"/>
        <v>1</v>
      </c>
      <c r="AR18" s="4">
        <f t="shared" si="18"/>
        <v>1</v>
      </c>
    </row>
    <row r="19" spans="1:44">
      <c r="A19" s="4">
        <v>0</v>
      </c>
      <c r="B19" s="4">
        <f>transform!A69</f>
        <v>4</v>
      </c>
      <c r="C19" s="4">
        <f>transform!B69</f>
        <v>2</v>
      </c>
      <c r="D19" s="4">
        <f>transform!C69</f>
        <v>7</v>
      </c>
      <c r="E19" s="7">
        <f>transform!D69</f>
        <v>40883</v>
      </c>
      <c r="F19" s="8">
        <f>transform!E69</f>
        <v>2</v>
      </c>
      <c r="G19" s="4">
        <f>transform!F69</f>
        <v>1988</v>
      </c>
      <c r="H19" s="8">
        <f>transform!G69</f>
        <v>3</v>
      </c>
      <c r="I19" s="8">
        <f>transform!H69</f>
        <v>1</v>
      </c>
      <c r="J19" s="4">
        <v>0.428571428571429</v>
      </c>
      <c r="K19" s="4">
        <f>transform!CC69</f>
        <v>2</v>
      </c>
      <c r="L19" s="4">
        <f>transform!CD69</f>
        <v>2</v>
      </c>
      <c r="M19" s="4">
        <f>transform!CE69</f>
        <v>2</v>
      </c>
      <c r="N19" s="4">
        <f>transform!CF69</f>
        <v>2</v>
      </c>
      <c r="O19" s="4">
        <f>transform!CG69</f>
        <v>2</v>
      </c>
      <c r="P19" s="4">
        <f>transform!CH69</f>
        <v>2</v>
      </c>
      <c r="Q19" s="4">
        <f>transform!CI69</f>
        <v>0</v>
      </c>
      <c r="R19" s="4">
        <f>transform!CJ69</f>
        <v>1</v>
      </c>
      <c r="S19" s="4">
        <f t="shared" si="3"/>
        <v>0</v>
      </c>
      <c r="T19" s="4">
        <f t="shared" si="4"/>
        <v>0</v>
      </c>
      <c r="U19" s="4">
        <f t="shared" si="0"/>
        <v>1</v>
      </c>
      <c r="V19" s="4">
        <f>transform!CK69</f>
        <v>1</v>
      </c>
      <c r="W19" s="4">
        <f>transform!CL69</f>
        <v>0</v>
      </c>
      <c r="X19" s="4">
        <f>transform!CM69</f>
        <v>1</v>
      </c>
      <c r="Y19" s="4">
        <f t="shared" si="5"/>
        <v>0</v>
      </c>
      <c r="Z19" s="4">
        <f t="shared" si="6"/>
        <v>0</v>
      </c>
      <c r="AA19" s="4">
        <f t="shared" si="1"/>
        <v>1</v>
      </c>
      <c r="AB19" s="4">
        <f>transform!CN69</f>
        <v>1</v>
      </c>
      <c r="AC19" s="4">
        <f>transform!CO69</f>
        <v>0</v>
      </c>
      <c r="AD19" s="4">
        <f>transform!CP69</f>
        <v>1</v>
      </c>
      <c r="AE19" s="4">
        <f t="shared" si="7"/>
        <v>0</v>
      </c>
      <c r="AF19" s="4">
        <f t="shared" si="8"/>
        <v>0</v>
      </c>
      <c r="AG19" s="4">
        <f t="shared" si="2"/>
        <v>1</v>
      </c>
      <c r="AH19" s="4">
        <f>transform!CQ69</f>
        <v>1</v>
      </c>
      <c r="AI19" s="4">
        <f t="shared" si="9"/>
        <v>1</v>
      </c>
      <c r="AJ19" s="4">
        <f t="shared" si="10"/>
        <v>2</v>
      </c>
      <c r="AK19" s="4">
        <f t="shared" si="11"/>
        <v>1</v>
      </c>
      <c r="AL19" s="4">
        <f t="shared" si="12"/>
        <v>1</v>
      </c>
      <c r="AM19" s="4">
        <f t="shared" si="13"/>
        <v>2</v>
      </c>
      <c r="AN19" s="4">
        <f t="shared" si="14"/>
        <v>1</v>
      </c>
      <c r="AO19" s="4">
        <f t="shared" si="15"/>
        <v>1</v>
      </c>
      <c r="AP19" s="4">
        <f t="shared" si="16"/>
        <v>1</v>
      </c>
      <c r="AQ19" s="4">
        <f t="shared" si="17"/>
        <v>1</v>
      </c>
      <c r="AR19" s="4">
        <f t="shared" si="18"/>
        <v>1</v>
      </c>
    </row>
    <row r="20" spans="1:44">
      <c r="A20" s="4">
        <v>0</v>
      </c>
      <c r="B20" s="4">
        <f>transform!A49</f>
        <v>2</v>
      </c>
      <c r="C20" s="4">
        <f>transform!B49</f>
        <v>2</v>
      </c>
      <c r="D20" s="4">
        <f>transform!C49</f>
        <v>4</v>
      </c>
      <c r="E20" s="7">
        <f>transform!D49</f>
        <v>40876</v>
      </c>
      <c r="F20" s="4">
        <f>transform!E49</f>
        <v>1</v>
      </c>
      <c r="G20" s="4">
        <f>transform!F49</f>
        <v>1990</v>
      </c>
      <c r="H20" s="8">
        <f>transform!G49</f>
        <v>1</v>
      </c>
      <c r="I20" s="4">
        <f>transform!H49</f>
        <v>2</v>
      </c>
      <c r="J20" s="4">
        <v>0.375</v>
      </c>
      <c r="K20" s="4">
        <f>transform!CC49</f>
        <v>2</v>
      </c>
      <c r="L20" s="4">
        <f>transform!CD49</f>
        <v>2</v>
      </c>
      <c r="M20" s="4">
        <f>transform!CE49</f>
        <v>2</v>
      </c>
      <c r="N20" s="4">
        <f>transform!CF49</f>
        <v>2</v>
      </c>
      <c r="O20" s="4">
        <f>transform!CG49</f>
        <v>2</v>
      </c>
      <c r="P20" s="4">
        <f>transform!CH49</f>
        <v>2</v>
      </c>
      <c r="Q20" s="4">
        <f>transform!CI49</f>
        <v>1</v>
      </c>
      <c r="R20" s="4">
        <f>transform!CJ49</f>
        <v>2</v>
      </c>
      <c r="S20" s="4">
        <f t="shared" si="3"/>
        <v>0</v>
      </c>
      <c r="T20" s="4">
        <f t="shared" si="4"/>
        <v>1</v>
      </c>
      <c r="U20" s="4">
        <f t="shared" si="0"/>
        <v>3</v>
      </c>
      <c r="V20" s="4">
        <f>transform!CK49</f>
        <v>2</v>
      </c>
      <c r="W20" s="4">
        <f>transform!CL49</f>
        <v>1</v>
      </c>
      <c r="X20" s="4">
        <f>transform!CM49</f>
        <v>2</v>
      </c>
      <c r="Y20" s="4">
        <f t="shared" si="5"/>
        <v>0</v>
      </c>
      <c r="Z20" s="4">
        <f t="shared" si="6"/>
        <v>1</v>
      </c>
      <c r="AA20" s="4">
        <f t="shared" si="1"/>
        <v>3</v>
      </c>
      <c r="AB20" s="4">
        <f>transform!CN49</f>
        <v>2</v>
      </c>
      <c r="AC20" s="4">
        <f>transform!CO49</f>
        <v>1</v>
      </c>
      <c r="AD20" s="4">
        <f>transform!CP49</f>
        <v>2</v>
      </c>
      <c r="AE20" s="4">
        <f t="shared" si="7"/>
        <v>0</v>
      </c>
      <c r="AF20" s="4">
        <f t="shared" si="8"/>
        <v>1</v>
      </c>
      <c r="AG20" s="4">
        <f t="shared" si="2"/>
        <v>3</v>
      </c>
      <c r="AH20" s="4">
        <f>transform!CQ49</f>
        <v>2</v>
      </c>
      <c r="AI20" s="4">
        <f t="shared" si="9"/>
        <v>1</v>
      </c>
      <c r="AJ20" s="4">
        <f t="shared" si="10"/>
        <v>2</v>
      </c>
      <c r="AK20" s="4">
        <f t="shared" si="11"/>
        <v>1</v>
      </c>
      <c r="AL20" s="4">
        <f t="shared" si="12"/>
        <v>1</v>
      </c>
      <c r="AM20" s="4">
        <f t="shared" si="13"/>
        <v>1</v>
      </c>
      <c r="AN20" s="4">
        <f t="shared" si="14"/>
        <v>1</v>
      </c>
      <c r="AO20" s="4">
        <f t="shared" si="15"/>
        <v>1</v>
      </c>
      <c r="AP20" s="4">
        <f t="shared" si="16"/>
        <v>2</v>
      </c>
      <c r="AQ20" s="4">
        <f t="shared" si="17"/>
        <v>1</v>
      </c>
      <c r="AR20" s="4">
        <f t="shared" si="18"/>
        <v>1</v>
      </c>
    </row>
    <row r="21" spans="1:44">
      <c r="A21" s="4">
        <v>0</v>
      </c>
      <c r="B21" s="4">
        <f>transform!A32</f>
        <v>5</v>
      </c>
      <c r="C21" s="4">
        <f>transform!B32</f>
        <v>1</v>
      </c>
      <c r="D21" s="4">
        <f>transform!C32</f>
        <v>1</v>
      </c>
      <c r="E21" s="7">
        <f>transform!D32</f>
        <v>40876</v>
      </c>
      <c r="F21" s="8">
        <f>transform!E32</f>
        <v>2</v>
      </c>
      <c r="G21" s="4">
        <f>transform!F32</f>
        <v>1990</v>
      </c>
      <c r="H21" s="8">
        <f>transform!G32</f>
        <v>4</v>
      </c>
      <c r="I21" s="8">
        <f>transform!H32</f>
        <v>1</v>
      </c>
      <c r="J21" s="4">
        <v>0.333333333333333</v>
      </c>
      <c r="K21" s="4">
        <f>transform!CC32</f>
        <v>2</v>
      </c>
      <c r="L21" s="4">
        <f>transform!CD32</f>
        <v>2</v>
      </c>
      <c r="M21" s="4">
        <f>transform!CE32</f>
        <v>2</v>
      </c>
      <c r="N21" s="4">
        <f>transform!CF32</f>
        <v>2</v>
      </c>
      <c r="O21" s="4">
        <f>transform!CG32</f>
        <v>2</v>
      </c>
      <c r="P21" s="4">
        <f>transform!CH32</f>
        <v>2</v>
      </c>
      <c r="Q21" s="4">
        <f>transform!CI32</f>
        <v>1</v>
      </c>
      <c r="R21" s="4">
        <f>transform!CJ32</f>
        <v>2</v>
      </c>
      <c r="S21" s="4">
        <f t="shared" si="3"/>
        <v>0</v>
      </c>
      <c r="T21" s="4">
        <f t="shared" si="4"/>
        <v>1</v>
      </c>
      <c r="U21" s="4">
        <f t="shared" si="0"/>
        <v>3</v>
      </c>
      <c r="V21" s="4">
        <f>transform!CK32</f>
        <v>2</v>
      </c>
      <c r="W21" s="4">
        <f>transform!CL32</f>
        <v>1</v>
      </c>
      <c r="X21" s="4">
        <f>transform!CM32</f>
        <v>2</v>
      </c>
      <c r="Y21" s="4">
        <f t="shared" si="5"/>
        <v>0</v>
      </c>
      <c r="Z21" s="4">
        <f t="shared" si="6"/>
        <v>1</v>
      </c>
      <c r="AA21" s="4">
        <f t="shared" si="1"/>
        <v>3</v>
      </c>
      <c r="AB21" s="4">
        <f>transform!CN32</f>
        <v>2</v>
      </c>
      <c r="AC21" s="4">
        <f>transform!CO32</f>
        <v>0</v>
      </c>
      <c r="AD21" s="4">
        <f>transform!CP32</f>
        <v>2</v>
      </c>
      <c r="AE21" s="4">
        <f t="shared" si="7"/>
        <v>0</v>
      </c>
      <c r="AF21" s="4">
        <f t="shared" si="8"/>
        <v>0</v>
      </c>
      <c r="AG21" s="4">
        <f t="shared" si="2"/>
        <v>1</v>
      </c>
      <c r="AH21" s="4">
        <f>transform!CQ32</f>
        <v>2</v>
      </c>
      <c r="AI21" s="4">
        <f t="shared" si="9"/>
        <v>1</v>
      </c>
      <c r="AJ21" s="4">
        <f t="shared" si="10"/>
        <v>2</v>
      </c>
      <c r="AK21" s="4">
        <f t="shared" si="11"/>
        <v>1</v>
      </c>
      <c r="AL21" s="4">
        <f t="shared" si="12"/>
        <v>1</v>
      </c>
      <c r="AM21" s="4">
        <f t="shared" si="13"/>
        <v>1</v>
      </c>
      <c r="AN21" s="4">
        <f t="shared" si="14"/>
        <v>1</v>
      </c>
      <c r="AO21" s="4">
        <f t="shared" si="15"/>
        <v>1</v>
      </c>
      <c r="AP21" s="4">
        <f t="shared" si="16"/>
        <v>2</v>
      </c>
      <c r="AQ21" s="4">
        <f t="shared" si="17"/>
        <v>1</v>
      </c>
      <c r="AR21" s="4">
        <f t="shared" si="18"/>
        <v>1</v>
      </c>
    </row>
    <row r="22" spans="1:44">
      <c r="A22" s="4">
        <v>0</v>
      </c>
      <c r="B22" s="4">
        <f>transform!A19</f>
        <v>3</v>
      </c>
      <c r="C22" s="4">
        <f>transform!B19</f>
        <v>1</v>
      </c>
      <c r="D22" s="4">
        <f>transform!C19</f>
        <v>3</v>
      </c>
      <c r="E22" s="7">
        <f>transform!D19</f>
        <v>40876</v>
      </c>
      <c r="F22" s="8">
        <f>transform!E19</f>
        <v>2</v>
      </c>
      <c r="G22" s="4">
        <f>transform!F19</f>
        <v>1990</v>
      </c>
      <c r="H22" s="8">
        <f>transform!G19</f>
        <v>3</v>
      </c>
      <c r="I22" s="8">
        <f>transform!H19</f>
        <v>1</v>
      </c>
      <c r="J22" s="4">
        <v>0.285714285714286</v>
      </c>
      <c r="K22" s="4">
        <f>transform!CC19</f>
        <v>2</v>
      </c>
      <c r="L22" s="4">
        <f>transform!CD19</f>
        <v>2</v>
      </c>
      <c r="M22" s="4">
        <f>transform!CE19</f>
        <v>1</v>
      </c>
      <c r="N22" s="4">
        <f>transform!CF19</f>
        <v>2</v>
      </c>
      <c r="O22" s="4">
        <f>transform!CG19</f>
        <v>1</v>
      </c>
      <c r="P22" s="4">
        <f>transform!CH19</f>
        <v>2</v>
      </c>
      <c r="Q22" s="4">
        <f>transform!CI19</f>
        <v>1</v>
      </c>
      <c r="R22" s="4">
        <f>transform!CJ19</f>
        <v>1</v>
      </c>
      <c r="S22" s="4">
        <f t="shared" si="3"/>
        <v>1</v>
      </c>
      <c r="T22" s="4">
        <f t="shared" si="4"/>
        <v>0</v>
      </c>
      <c r="U22" s="4">
        <f t="shared" si="0"/>
        <v>2</v>
      </c>
      <c r="V22" s="4">
        <f>transform!CK19</f>
        <v>1</v>
      </c>
      <c r="W22" s="4">
        <f>transform!CL19</f>
        <v>1</v>
      </c>
      <c r="X22" s="4">
        <f>transform!CM19</f>
        <v>2</v>
      </c>
      <c r="Y22" s="4">
        <f t="shared" si="5"/>
        <v>0</v>
      </c>
      <c r="Z22" s="4">
        <f t="shared" si="6"/>
        <v>1</v>
      </c>
      <c r="AA22" s="4">
        <f t="shared" si="1"/>
        <v>3</v>
      </c>
      <c r="AB22" s="4">
        <f>transform!CN19</f>
        <v>2</v>
      </c>
      <c r="AC22" s="4">
        <f>transform!CO19</f>
        <v>0</v>
      </c>
      <c r="AD22" s="4">
        <f>transform!CP19</f>
        <v>1</v>
      </c>
      <c r="AE22" s="4">
        <f t="shared" si="7"/>
        <v>0</v>
      </c>
      <c r="AF22" s="4">
        <f t="shared" si="8"/>
        <v>0</v>
      </c>
      <c r="AG22" s="4">
        <f t="shared" si="2"/>
        <v>1</v>
      </c>
      <c r="AH22" s="4">
        <f>transform!CQ19</f>
        <v>2</v>
      </c>
      <c r="AI22" s="4">
        <f t="shared" si="9"/>
        <v>1</v>
      </c>
      <c r="AJ22" s="4">
        <f t="shared" si="10"/>
        <v>2</v>
      </c>
      <c r="AK22" s="4">
        <f t="shared" si="11"/>
        <v>1</v>
      </c>
      <c r="AL22" s="4">
        <f t="shared" si="12"/>
        <v>1</v>
      </c>
      <c r="AM22" s="4">
        <f t="shared" si="13"/>
        <v>1</v>
      </c>
      <c r="AN22" s="4">
        <f t="shared" si="14"/>
        <v>1</v>
      </c>
      <c r="AO22" s="4">
        <f t="shared" si="15"/>
        <v>2</v>
      </c>
      <c r="AP22" s="4">
        <f t="shared" si="16"/>
        <v>1</v>
      </c>
      <c r="AQ22" s="4">
        <f t="shared" si="17"/>
        <v>1</v>
      </c>
      <c r="AR22" s="4">
        <f t="shared" si="18"/>
        <v>1</v>
      </c>
    </row>
    <row r="23" spans="1:44">
      <c r="A23" s="4">
        <v>0</v>
      </c>
      <c r="B23" s="4">
        <f>transform!A21</f>
        <v>3</v>
      </c>
      <c r="C23" s="4">
        <f>transform!B21</f>
        <v>1</v>
      </c>
      <c r="D23" s="4">
        <f>transform!C21</f>
        <v>5</v>
      </c>
      <c r="E23" s="7">
        <f>transform!D21</f>
        <v>40876</v>
      </c>
      <c r="F23" s="8">
        <f>transform!E21</f>
        <v>2</v>
      </c>
      <c r="G23" s="4">
        <f>transform!F21</f>
        <v>1993</v>
      </c>
      <c r="H23" s="8">
        <f>transform!G21</f>
        <v>3</v>
      </c>
      <c r="I23" s="8">
        <f>transform!H21</f>
        <v>1</v>
      </c>
      <c r="J23" s="4">
        <v>0.285714285714286</v>
      </c>
      <c r="K23" s="4">
        <f>transform!CC21</f>
        <v>2</v>
      </c>
      <c r="L23" s="4">
        <f>transform!CD21</f>
        <v>2</v>
      </c>
      <c r="M23" s="4">
        <f>transform!CE21</f>
        <v>2</v>
      </c>
      <c r="N23" s="4">
        <f>transform!CF21</f>
        <v>2</v>
      </c>
      <c r="O23" s="4">
        <f>transform!CG21</f>
        <v>2</v>
      </c>
      <c r="P23" s="4">
        <f>transform!CH21</f>
        <v>2</v>
      </c>
      <c r="Q23" s="4">
        <f>transform!CI21</f>
        <v>1</v>
      </c>
      <c r="R23" s="4">
        <f>transform!CJ21</f>
        <v>2</v>
      </c>
      <c r="S23" s="4">
        <f t="shared" si="3"/>
        <v>0</v>
      </c>
      <c r="T23" s="4">
        <f t="shared" si="4"/>
        <v>1</v>
      </c>
      <c r="U23" s="4">
        <f t="shared" si="0"/>
        <v>3</v>
      </c>
      <c r="V23" s="4">
        <f>transform!CK21</f>
        <v>2</v>
      </c>
      <c r="W23" s="4">
        <f>transform!CL21</f>
        <v>0</v>
      </c>
      <c r="X23" s="4">
        <f>transform!CM21</f>
        <v>1</v>
      </c>
      <c r="Y23" s="4">
        <f t="shared" si="5"/>
        <v>0</v>
      </c>
      <c r="Z23" s="4">
        <f t="shared" si="6"/>
        <v>0</v>
      </c>
      <c r="AA23" s="4">
        <f t="shared" si="1"/>
        <v>1</v>
      </c>
      <c r="AB23" s="4">
        <f>transform!CN21</f>
        <v>2</v>
      </c>
      <c r="AC23" s="4">
        <f>transform!CO21</f>
        <v>0</v>
      </c>
      <c r="AD23" s="4">
        <f>transform!CP21</f>
        <v>2</v>
      </c>
      <c r="AE23" s="4">
        <f t="shared" si="7"/>
        <v>0</v>
      </c>
      <c r="AF23" s="4">
        <f t="shared" si="8"/>
        <v>0</v>
      </c>
      <c r="AG23" s="4">
        <f t="shared" si="2"/>
        <v>1</v>
      </c>
      <c r="AH23" s="4">
        <f>transform!CQ21</f>
        <v>2</v>
      </c>
      <c r="AI23" s="4">
        <f t="shared" si="9"/>
        <v>1</v>
      </c>
      <c r="AJ23" s="4">
        <f t="shared" si="10"/>
        <v>2</v>
      </c>
      <c r="AK23" s="4">
        <f t="shared" si="11"/>
        <v>1</v>
      </c>
      <c r="AL23" s="4">
        <f t="shared" si="12"/>
        <v>1</v>
      </c>
      <c r="AM23" s="4">
        <f t="shared" si="13"/>
        <v>1</v>
      </c>
      <c r="AN23" s="4">
        <f t="shared" si="14"/>
        <v>1</v>
      </c>
      <c r="AO23" s="4">
        <f t="shared" si="15"/>
        <v>1</v>
      </c>
      <c r="AP23" s="4">
        <f t="shared" si="16"/>
        <v>2</v>
      </c>
      <c r="AQ23" s="4">
        <f t="shared" si="17"/>
        <v>1</v>
      </c>
      <c r="AR23" s="4">
        <f t="shared" si="18"/>
        <v>1</v>
      </c>
    </row>
    <row r="24" spans="1:44">
      <c r="A24" s="4">
        <v>0</v>
      </c>
      <c r="B24" s="4">
        <f>transform!A64</f>
        <v>4</v>
      </c>
      <c r="C24" s="4">
        <f>transform!B64</f>
        <v>2</v>
      </c>
      <c r="D24" s="4">
        <f>transform!C64</f>
        <v>2</v>
      </c>
      <c r="E24" s="7">
        <f>transform!D64</f>
        <v>40876</v>
      </c>
      <c r="F24" s="8">
        <f>transform!E64</f>
        <v>2</v>
      </c>
      <c r="G24" s="4">
        <f>transform!F64</f>
        <v>1991</v>
      </c>
      <c r="H24" s="8">
        <f>transform!G64</f>
        <v>4</v>
      </c>
      <c r="I24" s="8">
        <f>transform!H64</f>
        <v>1</v>
      </c>
      <c r="J24" s="4">
        <v>0.285714285714286</v>
      </c>
      <c r="K24" s="4">
        <f>transform!CC64</f>
        <v>2</v>
      </c>
      <c r="L24" s="4">
        <f>transform!CD64</f>
        <v>2</v>
      </c>
      <c r="M24" s="4">
        <f>transform!CE64</f>
        <v>2</v>
      </c>
      <c r="N24" s="4">
        <f>transform!CF64</f>
        <v>2</v>
      </c>
      <c r="O24" s="4">
        <f>transform!CG64</f>
        <v>1</v>
      </c>
      <c r="P24" s="4">
        <f>transform!CH64</f>
        <v>2</v>
      </c>
      <c r="Q24" s="4">
        <f>transform!CI64</f>
        <v>1</v>
      </c>
      <c r="R24" s="4">
        <f>transform!CJ64</f>
        <v>1</v>
      </c>
      <c r="S24" s="4">
        <f t="shared" si="3"/>
        <v>1</v>
      </c>
      <c r="T24" s="4">
        <f t="shared" si="4"/>
        <v>0</v>
      </c>
      <c r="U24" s="4">
        <f t="shared" si="0"/>
        <v>2</v>
      </c>
      <c r="V24" s="4">
        <f>transform!CK64</f>
        <v>1</v>
      </c>
      <c r="W24" s="4">
        <f>transform!CL64</f>
        <v>1</v>
      </c>
      <c r="X24" s="4">
        <f>transform!CM64</f>
        <v>2</v>
      </c>
      <c r="Y24" s="4">
        <f t="shared" si="5"/>
        <v>0</v>
      </c>
      <c r="Z24" s="4">
        <f t="shared" si="6"/>
        <v>1</v>
      </c>
      <c r="AA24" s="4">
        <f t="shared" si="1"/>
        <v>3</v>
      </c>
      <c r="AB24" s="4">
        <f>transform!CN64</f>
        <v>2</v>
      </c>
      <c r="AC24" s="4">
        <f>transform!CO64</f>
        <v>1</v>
      </c>
      <c r="AD24" s="4">
        <f>transform!CP64</f>
        <v>2</v>
      </c>
      <c r="AE24" s="4">
        <f t="shared" si="7"/>
        <v>0</v>
      </c>
      <c r="AF24" s="4">
        <f t="shared" si="8"/>
        <v>1</v>
      </c>
      <c r="AG24" s="4">
        <f t="shared" si="2"/>
        <v>3</v>
      </c>
      <c r="AH24" s="4">
        <f>transform!CQ64</f>
        <v>1</v>
      </c>
      <c r="AI24" s="4">
        <f t="shared" si="9"/>
        <v>1</v>
      </c>
      <c r="AJ24" s="4">
        <f t="shared" si="10"/>
        <v>2</v>
      </c>
      <c r="AK24" s="4">
        <f t="shared" si="11"/>
        <v>1</v>
      </c>
      <c r="AL24" s="4">
        <f t="shared" si="12"/>
        <v>1</v>
      </c>
      <c r="AM24" s="4">
        <f t="shared" si="13"/>
        <v>1</v>
      </c>
      <c r="AN24" s="4">
        <f t="shared" si="14"/>
        <v>1</v>
      </c>
      <c r="AO24" s="4">
        <f t="shared" si="15"/>
        <v>2</v>
      </c>
      <c r="AP24" s="4">
        <f t="shared" si="16"/>
        <v>1</v>
      </c>
      <c r="AQ24" s="4">
        <f t="shared" si="17"/>
        <v>1</v>
      </c>
      <c r="AR24" s="4">
        <f t="shared" si="18"/>
        <v>1</v>
      </c>
    </row>
    <row r="25" spans="1:44">
      <c r="A25" s="4">
        <v>0</v>
      </c>
      <c r="B25" s="4">
        <f>transform!A46</f>
        <v>2</v>
      </c>
      <c r="C25" s="4">
        <f>transform!B46</f>
        <v>2</v>
      </c>
      <c r="D25" s="4">
        <f>transform!C46</f>
        <v>1</v>
      </c>
      <c r="E25" s="7">
        <f>transform!D46</f>
        <v>40876</v>
      </c>
      <c r="F25" s="4">
        <f>transform!E46</f>
        <v>1</v>
      </c>
      <c r="G25" s="4">
        <f>transform!F46</f>
        <v>1988</v>
      </c>
      <c r="H25" s="8">
        <f>transform!G46</f>
        <v>2</v>
      </c>
      <c r="I25" s="8">
        <f>transform!H46</f>
        <v>1</v>
      </c>
      <c r="J25" s="4">
        <v>0.25</v>
      </c>
      <c r="K25" s="4">
        <f>transform!CC46</f>
        <v>1</v>
      </c>
      <c r="L25" s="4">
        <f>transform!CD46</f>
        <v>2</v>
      </c>
      <c r="M25" s="4">
        <f>transform!CE46</f>
        <v>1</v>
      </c>
      <c r="N25" s="4">
        <f>transform!CF46</f>
        <v>1</v>
      </c>
      <c r="O25" s="4">
        <f>transform!CG46</f>
        <v>1</v>
      </c>
      <c r="P25" s="4">
        <f>transform!CH46</f>
        <v>1</v>
      </c>
      <c r="Q25" s="4">
        <f>transform!CI46</f>
        <v>1</v>
      </c>
      <c r="R25" s="4">
        <f>transform!CJ46</f>
        <v>2</v>
      </c>
      <c r="S25" s="4">
        <f t="shared" si="3"/>
        <v>0</v>
      </c>
      <c r="T25" s="4">
        <f t="shared" si="4"/>
        <v>1</v>
      </c>
      <c r="U25" s="4">
        <f t="shared" si="0"/>
        <v>3</v>
      </c>
      <c r="V25" s="4">
        <f>transform!CK46</f>
        <v>1</v>
      </c>
      <c r="W25" s="4">
        <f>transform!CL46</f>
        <v>1</v>
      </c>
      <c r="X25" s="4">
        <f>transform!CM46</f>
        <v>2</v>
      </c>
      <c r="Y25" s="4">
        <f t="shared" si="5"/>
        <v>0</v>
      </c>
      <c r="Z25" s="4">
        <f t="shared" si="6"/>
        <v>1</v>
      </c>
      <c r="AA25" s="4">
        <f t="shared" si="1"/>
        <v>3</v>
      </c>
      <c r="AB25" s="4">
        <f>transform!CN46</f>
        <v>2</v>
      </c>
      <c r="AC25" s="4">
        <f>transform!CO46</f>
        <v>1</v>
      </c>
      <c r="AD25" s="4">
        <f>transform!CP46</f>
        <v>2</v>
      </c>
      <c r="AE25" s="4">
        <f t="shared" si="7"/>
        <v>0</v>
      </c>
      <c r="AF25" s="4">
        <f t="shared" si="8"/>
        <v>1</v>
      </c>
      <c r="AG25" s="4">
        <f t="shared" si="2"/>
        <v>3</v>
      </c>
      <c r="AH25" s="4">
        <f>transform!CQ46</f>
        <v>2</v>
      </c>
      <c r="AI25" s="4">
        <f t="shared" si="9"/>
        <v>1</v>
      </c>
      <c r="AJ25" s="4">
        <f t="shared" si="10"/>
        <v>1</v>
      </c>
      <c r="AK25" s="4">
        <f t="shared" si="11"/>
        <v>2</v>
      </c>
      <c r="AL25" s="4">
        <f t="shared" si="12"/>
        <v>1</v>
      </c>
      <c r="AM25" s="4">
        <f t="shared" si="13"/>
        <v>1</v>
      </c>
      <c r="AN25" s="4">
        <f t="shared" si="14"/>
        <v>1</v>
      </c>
      <c r="AO25" s="4">
        <f t="shared" si="15"/>
        <v>1</v>
      </c>
      <c r="AP25" s="4">
        <f t="shared" si="16"/>
        <v>1</v>
      </c>
      <c r="AQ25" s="4">
        <f t="shared" si="17"/>
        <v>1</v>
      </c>
      <c r="AR25" s="4">
        <f t="shared" si="18"/>
        <v>2</v>
      </c>
    </row>
    <row r="26" spans="1:44">
      <c r="A26" s="4">
        <v>0</v>
      </c>
      <c r="B26" s="4">
        <f>transform!A48</f>
        <v>2</v>
      </c>
      <c r="C26" s="4">
        <f>transform!B48</f>
        <v>2</v>
      </c>
      <c r="D26" s="4">
        <f>transform!C48</f>
        <v>3</v>
      </c>
      <c r="E26" s="7">
        <f>transform!D48</f>
        <v>40876</v>
      </c>
      <c r="F26" s="4">
        <f>transform!E48</f>
        <v>1</v>
      </c>
      <c r="G26" s="4">
        <f>transform!F48</f>
        <v>1992</v>
      </c>
      <c r="H26" s="8">
        <f>transform!G48</f>
        <v>1</v>
      </c>
      <c r="I26" s="4">
        <f>transform!H48</f>
        <v>2</v>
      </c>
      <c r="J26" s="4">
        <v>0.25</v>
      </c>
      <c r="K26" s="4">
        <f>transform!CC48</f>
        <v>1</v>
      </c>
      <c r="L26" s="4">
        <f>transform!CD48</f>
        <v>1</v>
      </c>
      <c r="M26" s="4">
        <f>transform!CE48</f>
        <v>2</v>
      </c>
      <c r="N26" s="4">
        <f>transform!CF48</f>
        <v>1</v>
      </c>
      <c r="O26" s="4">
        <f>transform!CG48</f>
        <v>1</v>
      </c>
      <c r="P26" s="4">
        <f>transform!CH48</f>
        <v>1</v>
      </c>
      <c r="Q26" s="4">
        <f>transform!CI48</f>
        <v>1</v>
      </c>
      <c r="R26" s="4">
        <f>transform!CJ48</f>
        <v>2</v>
      </c>
      <c r="S26" s="4">
        <f t="shared" si="3"/>
        <v>0</v>
      </c>
      <c r="T26" s="4">
        <f t="shared" si="4"/>
        <v>1</v>
      </c>
      <c r="U26" s="4">
        <f t="shared" si="0"/>
        <v>3</v>
      </c>
      <c r="V26" s="4">
        <f>transform!CK48</f>
        <v>2</v>
      </c>
      <c r="W26" s="4">
        <f>transform!CL48</f>
        <v>1</v>
      </c>
      <c r="X26" s="4">
        <f>transform!CM48</f>
        <v>2</v>
      </c>
      <c r="Y26" s="4">
        <f t="shared" si="5"/>
        <v>0</v>
      </c>
      <c r="Z26" s="4">
        <f t="shared" si="6"/>
        <v>1</v>
      </c>
      <c r="AA26" s="4">
        <f t="shared" si="1"/>
        <v>3</v>
      </c>
      <c r="AB26" s="4">
        <f>transform!CN48</f>
        <v>1</v>
      </c>
      <c r="AC26" s="4">
        <f>transform!CO48</f>
        <v>0</v>
      </c>
      <c r="AD26" s="4">
        <f>transform!CP48</f>
        <v>2</v>
      </c>
      <c r="AE26" s="4">
        <f t="shared" si="7"/>
        <v>0</v>
      </c>
      <c r="AF26" s="4">
        <f t="shared" si="8"/>
        <v>0</v>
      </c>
      <c r="AG26" s="4">
        <f t="shared" si="2"/>
        <v>1</v>
      </c>
      <c r="AH26" s="4">
        <f>transform!CQ48</f>
        <v>1</v>
      </c>
      <c r="AI26" s="4">
        <f t="shared" si="9"/>
        <v>2</v>
      </c>
      <c r="AJ26" s="4">
        <f t="shared" si="10"/>
        <v>1</v>
      </c>
      <c r="AK26" s="4">
        <f t="shared" si="11"/>
        <v>1</v>
      </c>
      <c r="AL26" s="4">
        <f t="shared" si="12"/>
        <v>1</v>
      </c>
      <c r="AM26" s="4">
        <f t="shared" si="13"/>
        <v>1</v>
      </c>
      <c r="AN26" s="4">
        <f t="shared" si="14"/>
        <v>1</v>
      </c>
      <c r="AO26" s="4">
        <f t="shared" si="15"/>
        <v>1</v>
      </c>
      <c r="AP26" s="4">
        <f t="shared" si="16"/>
        <v>2</v>
      </c>
      <c r="AQ26" s="4">
        <f t="shared" si="17"/>
        <v>1</v>
      </c>
      <c r="AR26" s="4">
        <f t="shared" si="18"/>
        <v>1</v>
      </c>
    </row>
    <row r="27" spans="1:44">
      <c r="A27" s="4">
        <v>0</v>
      </c>
      <c r="B27" s="4">
        <f>transform!A50</f>
        <v>2</v>
      </c>
      <c r="C27" s="4">
        <f>transform!B50</f>
        <v>2</v>
      </c>
      <c r="D27" s="4">
        <f>transform!C50</f>
        <v>5</v>
      </c>
      <c r="E27" s="7">
        <f>transform!D50</f>
        <v>40876</v>
      </c>
      <c r="F27" s="4">
        <f>transform!E50</f>
        <v>1</v>
      </c>
      <c r="G27" s="4">
        <f>transform!F50</f>
        <v>1989</v>
      </c>
      <c r="H27" s="8">
        <f>transform!G50</f>
        <v>4</v>
      </c>
      <c r="I27" s="8">
        <f>transform!H50</f>
        <v>1</v>
      </c>
      <c r="J27" s="4">
        <v>0.25</v>
      </c>
      <c r="K27" s="4">
        <f>transform!CC50</f>
        <v>1</v>
      </c>
      <c r="L27" s="4">
        <f>transform!CD50</f>
        <v>2</v>
      </c>
      <c r="M27" s="4">
        <f>transform!CE50</f>
        <v>2</v>
      </c>
      <c r="N27" s="4">
        <f>transform!CF50</f>
        <v>2</v>
      </c>
      <c r="O27" s="4">
        <f>transform!CG50</f>
        <v>1</v>
      </c>
      <c r="P27" s="4">
        <f>transform!CH50</f>
        <v>2</v>
      </c>
      <c r="Q27" s="4">
        <f>transform!CI50</f>
        <v>1</v>
      </c>
      <c r="R27" s="4">
        <f>transform!CJ50</f>
        <v>1</v>
      </c>
      <c r="S27" s="4">
        <f t="shared" si="3"/>
        <v>1</v>
      </c>
      <c r="T27" s="4">
        <f t="shared" si="4"/>
        <v>0</v>
      </c>
      <c r="U27" s="4">
        <f t="shared" si="0"/>
        <v>2</v>
      </c>
      <c r="V27" s="4">
        <f>transform!CK50</f>
        <v>2</v>
      </c>
      <c r="W27" s="4">
        <f>transform!CL50</f>
        <v>0</v>
      </c>
      <c r="X27" s="4">
        <f>transform!CM50</f>
        <v>1</v>
      </c>
      <c r="Y27" s="4">
        <f t="shared" si="5"/>
        <v>0</v>
      </c>
      <c r="Z27" s="4">
        <f t="shared" si="6"/>
        <v>0</v>
      </c>
      <c r="AA27" s="4">
        <f t="shared" si="1"/>
        <v>1</v>
      </c>
      <c r="AB27" s="4">
        <f>transform!CN50</f>
        <v>2</v>
      </c>
      <c r="AC27" s="4">
        <f>transform!CO50</f>
        <v>1</v>
      </c>
      <c r="AD27" s="4">
        <f>transform!CP50</f>
        <v>1</v>
      </c>
      <c r="AE27" s="4">
        <f t="shared" si="7"/>
        <v>1</v>
      </c>
      <c r="AF27" s="4">
        <f t="shared" si="8"/>
        <v>0</v>
      </c>
      <c r="AG27" s="4">
        <f t="shared" si="2"/>
        <v>2</v>
      </c>
      <c r="AH27" s="4">
        <f>transform!CQ50</f>
        <v>2</v>
      </c>
      <c r="AI27" s="4">
        <f t="shared" si="9"/>
        <v>1</v>
      </c>
      <c r="AJ27" s="4">
        <f t="shared" si="10"/>
        <v>1</v>
      </c>
      <c r="AK27" s="4">
        <f t="shared" si="11"/>
        <v>2</v>
      </c>
      <c r="AL27" s="4">
        <f t="shared" si="12"/>
        <v>1</v>
      </c>
      <c r="AM27" s="4">
        <f t="shared" si="13"/>
        <v>1</v>
      </c>
      <c r="AN27" s="4">
        <f t="shared" si="14"/>
        <v>1</v>
      </c>
      <c r="AO27" s="4">
        <f t="shared" si="15"/>
        <v>1</v>
      </c>
      <c r="AP27" s="4">
        <f t="shared" si="16"/>
        <v>1</v>
      </c>
      <c r="AQ27" s="4">
        <f t="shared" si="17"/>
        <v>2</v>
      </c>
      <c r="AR27" s="4">
        <f t="shared" si="18"/>
        <v>1</v>
      </c>
    </row>
    <row r="28" spans="1:44">
      <c r="A28" s="4">
        <v>0</v>
      </c>
      <c r="B28" s="4">
        <f>transform!A53</f>
        <v>2</v>
      </c>
      <c r="C28" s="4">
        <f>transform!B53</f>
        <v>2</v>
      </c>
      <c r="D28" s="4">
        <f>transform!C53</f>
        <v>8</v>
      </c>
      <c r="E28" s="7">
        <f>transform!D53</f>
        <v>40876</v>
      </c>
      <c r="F28" s="4">
        <f>transform!E53</f>
        <v>1</v>
      </c>
      <c r="G28" s="4">
        <f>transform!F53</f>
        <v>1993</v>
      </c>
      <c r="H28" s="8">
        <f>transform!G53</f>
        <v>1</v>
      </c>
      <c r="I28" s="8">
        <f>transform!H53</f>
        <v>1</v>
      </c>
      <c r="J28" s="4">
        <v>0.25</v>
      </c>
      <c r="K28" s="4">
        <f>transform!CC53</f>
        <v>2</v>
      </c>
      <c r="L28" s="4">
        <f>transform!CD53</f>
        <v>2</v>
      </c>
      <c r="M28" s="4">
        <f>transform!CE53</f>
        <v>2</v>
      </c>
      <c r="N28" s="4">
        <f>transform!CF53</f>
        <v>2</v>
      </c>
      <c r="O28" s="4">
        <f>transform!CG53</f>
        <v>2</v>
      </c>
      <c r="P28" s="4">
        <f>transform!CH53</f>
        <v>2</v>
      </c>
      <c r="Q28" s="4">
        <f>transform!CI53</f>
        <v>1</v>
      </c>
      <c r="R28" s="4">
        <f>transform!CJ53</f>
        <v>2</v>
      </c>
      <c r="S28" s="4">
        <f t="shared" si="3"/>
        <v>0</v>
      </c>
      <c r="T28" s="4">
        <f t="shared" si="4"/>
        <v>1</v>
      </c>
      <c r="U28" s="4">
        <f t="shared" si="0"/>
        <v>3</v>
      </c>
      <c r="V28" s="4">
        <f>transform!CK53</f>
        <v>2</v>
      </c>
      <c r="W28" s="4">
        <f>transform!CL53</f>
        <v>0</v>
      </c>
      <c r="X28" s="4">
        <f>transform!CM53</f>
        <v>2</v>
      </c>
      <c r="Y28" s="4">
        <f t="shared" si="5"/>
        <v>0</v>
      </c>
      <c r="Z28" s="4">
        <f t="shared" si="6"/>
        <v>0</v>
      </c>
      <c r="AA28" s="4">
        <f t="shared" si="1"/>
        <v>1</v>
      </c>
      <c r="AB28" s="4">
        <f>transform!CN53</f>
        <v>1</v>
      </c>
      <c r="AC28" s="4">
        <f>transform!CO53</f>
        <v>1</v>
      </c>
      <c r="AD28" s="4">
        <f>transform!CP53</f>
        <v>1</v>
      </c>
      <c r="AE28" s="4">
        <f t="shared" si="7"/>
        <v>1</v>
      </c>
      <c r="AF28" s="4">
        <f t="shared" si="8"/>
        <v>0</v>
      </c>
      <c r="AG28" s="4">
        <f t="shared" si="2"/>
        <v>2</v>
      </c>
      <c r="AH28" s="4">
        <f>transform!CQ53</f>
        <v>1</v>
      </c>
      <c r="AI28" s="4">
        <f t="shared" si="9"/>
        <v>1</v>
      </c>
      <c r="AJ28" s="4">
        <f t="shared" si="10"/>
        <v>2</v>
      </c>
      <c r="AK28" s="4">
        <f t="shared" si="11"/>
        <v>1</v>
      </c>
      <c r="AL28" s="4">
        <f t="shared" si="12"/>
        <v>1</v>
      </c>
      <c r="AM28" s="4">
        <f t="shared" si="13"/>
        <v>1</v>
      </c>
      <c r="AN28" s="4">
        <f t="shared" si="14"/>
        <v>1</v>
      </c>
      <c r="AO28" s="4">
        <f t="shared" si="15"/>
        <v>1</v>
      </c>
      <c r="AP28" s="4">
        <f t="shared" si="16"/>
        <v>2</v>
      </c>
      <c r="AQ28" s="4">
        <f t="shared" si="17"/>
        <v>1</v>
      </c>
      <c r="AR28" s="4">
        <f t="shared" si="18"/>
        <v>1</v>
      </c>
    </row>
    <row r="29" spans="1:44">
      <c r="A29" s="4">
        <v>0</v>
      </c>
      <c r="B29" s="4">
        <f>transform!A34</f>
        <v>5</v>
      </c>
      <c r="C29" s="4">
        <f>transform!B34</f>
        <v>1</v>
      </c>
      <c r="D29" s="4">
        <f>transform!C34</f>
        <v>3</v>
      </c>
      <c r="E29" s="7">
        <f>transform!D34</f>
        <v>40876</v>
      </c>
      <c r="F29" s="8">
        <f>transform!E34</f>
        <v>2</v>
      </c>
      <c r="G29" s="4">
        <f>transform!F34</f>
        <v>1987</v>
      </c>
      <c r="H29" s="8">
        <f>transform!G34</f>
        <v>4</v>
      </c>
      <c r="I29" s="8">
        <f>transform!H34</f>
        <v>1</v>
      </c>
      <c r="J29" s="4">
        <v>0.166666666666667</v>
      </c>
      <c r="K29" s="4">
        <f>transform!CC34</f>
        <v>2</v>
      </c>
      <c r="L29" s="4">
        <f>transform!CD34</f>
        <v>2</v>
      </c>
      <c r="M29" s="4">
        <f>transform!CE34</f>
        <v>1</v>
      </c>
      <c r="N29" s="4">
        <f>transform!CF34</f>
        <v>2</v>
      </c>
      <c r="O29" s="4">
        <f>transform!CG34</f>
        <v>1</v>
      </c>
      <c r="P29" s="4">
        <f>transform!CH34</f>
        <v>2</v>
      </c>
      <c r="Q29" s="4">
        <f>transform!CI34</f>
        <v>0</v>
      </c>
      <c r="R29" s="4">
        <f>transform!CJ34</f>
        <v>2</v>
      </c>
      <c r="S29" s="4">
        <f t="shared" si="3"/>
        <v>0</v>
      </c>
      <c r="T29" s="4">
        <f t="shared" si="4"/>
        <v>0</v>
      </c>
      <c r="U29" s="4">
        <f t="shared" si="0"/>
        <v>1</v>
      </c>
      <c r="V29" s="4">
        <f>transform!CK34</f>
        <v>2</v>
      </c>
      <c r="W29" s="4">
        <f>transform!CL34</f>
        <v>0</v>
      </c>
      <c r="X29" s="4">
        <f>transform!CM34</f>
        <v>1</v>
      </c>
      <c r="Y29" s="4">
        <f t="shared" si="5"/>
        <v>0</v>
      </c>
      <c r="Z29" s="4">
        <f t="shared" si="6"/>
        <v>0</v>
      </c>
      <c r="AA29" s="4">
        <f t="shared" si="1"/>
        <v>1</v>
      </c>
      <c r="AB29" s="4">
        <f>transform!CN34</f>
        <v>2</v>
      </c>
      <c r="AC29" s="4">
        <f>transform!CO34</f>
        <v>0</v>
      </c>
      <c r="AD29" s="4">
        <f>transform!CP34</f>
        <v>1</v>
      </c>
      <c r="AE29" s="4">
        <f t="shared" si="7"/>
        <v>0</v>
      </c>
      <c r="AF29" s="4">
        <f t="shared" si="8"/>
        <v>0</v>
      </c>
      <c r="AG29" s="4">
        <f t="shared" si="2"/>
        <v>1</v>
      </c>
      <c r="AH29" s="4">
        <f>transform!CQ34</f>
        <v>2</v>
      </c>
      <c r="AI29" s="4">
        <f t="shared" si="9"/>
        <v>1</v>
      </c>
      <c r="AJ29" s="4">
        <f t="shared" si="10"/>
        <v>2</v>
      </c>
      <c r="AK29" s="4">
        <f t="shared" si="11"/>
        <v>1</v>
      </c>
      <c r="AL29" s="4">
        <f t="shared" si="12"/>
        <v>1</v>
      </c>
      <c r="AM29" s="4">
        <f t="shared" si="13"/>
        <v>1</v>
      </c>
      <c r="AN29" s="4">
        <f t="shared" si="14"/>
        <v>2</v>
      </c>
      <c r="AO29" s="4">
        <f t="shared" si="15"/>
        <v>1</v>
      </c>
      <c r="AP29" s="4">
        <f t="shared" si="16"/>
        <v>1</v>
      </c>
      <c r="AQ29" s="4">
        <f t="shared" si="17"/>
        <v>1</v>
      </c>
      <c r="AR29" s="4">
        <f t="shared" si="18"/>
        <v>1</v>
      </c>
    </row>
    <row r="30" spans="1:44">
      <c r="A30" s="4">
        <v>0</v>
      </c>
      <c r="B30" s="4">
        <f>transform!A37</f>
        <v>5</v>
      </c>
      <c r="C30" s="4">
        <f>transform!B37</f>
        <v>1</v>
      </c>
      <c r="D30" s="4">
        <f>transform!C37</f>
        <v>6</v>
      </c>
      <c r="E30" s="7">
        <f>transform!D37</f>
        <v>40883</v>
      </c>
      <c r="F30" s="8">
        <f>transform!E37</f>
        <v>2</v>
      </c>
      <c r="G30" s="4">
        <f>transform!F37</f>
        <v>1985</v>
      </c>
      <c r="H30" s="8">
        <f>transform!G37</f>
        <v>4</v>
      </c>
      <c r="I30" s="4">
        <f>transform!H37</f>
        <v>2</v>
      </c>
      <c r="J30" s="4">
        <v>0.166666666666667</v>
      </c>
      <c r="K30" s="4">
        <f>transform!CC37</f>
        <v>1</v>
      </c>
      <c r="L30" s="4">
        <f>transform!CD37</f>
        <v>1</v>
      </c>
      <c r="M30" s="4">
        <f>transform!CE37</f>
        <v>1</v>
      </c>
      <c r="N30" s="4">
        <f>transform!CF37</f>
        <v>1</v>
      </c>
      <c r="O30" s="4">
        <f>transform!CG37</f>
        <v>1</v>
      </c>
      <c r="P30" s="4">
        <f>transform!CH37</f>
        <v>1</v>
      </c>
      <c r="Q30" s="4">
        <f>transform!CI37</f>
        <v>1</v>
      </c>
      <c r="R30" s="4">
        <f>transform!CJ37</f>
        <v>1</v>
      </c>
      <c r="S30" s="4">
        <f t="shared" si="3"/>
        <v>1</v>
      </c>
      <c r="T30" s="4">
        <f t="shared" si="4"/>
        <v>0</v>
      </c>
      <c r="U30" s="4">
        <f t="shared" si="0"/>
        <v>2</v>
      </c>
      <c r="V30" s="4">
        <f>transform!CK37</f>
        <v>1</v>
      </c>
      <c r="W30" s="4">
        <f>transform!CL37</f>
        <v>1</v>
      </c>
      <c r="X30" s="4">
        <f>transform!CM37</f>
        <v>1</v>
      </c>
      <c r="Y30" s="4">
        <f t="shared" si="5"/>
        <v>1</v>
      </c>
      <c r="Z30" s="4">
        <f t="shared" si="6"/>
        <v>0</v>
      </c>
      <c r="AA30" s="4">
        <f t="shared" si="1"/>
        <v>2</v>
      </c>
      <c r="AB30" s="4">
        <f>transform!CN37</f>
        <v>2</v>
      </c>
      <c r="AC30" s="4">
        <f>transform!CO37</f>
        <v>1</v>
      </c>
      <c r="AD30" s="4">
        <f>transform!CP37</f>
        <v>1</v>
      </c>
      <c r="AE30" s="4">
        <f t="shared" si="7"/>
        <v>1</v>
      </c>
      <c r="AF30" s="4">
        <f t="shared" si="8"/>
        <v>0</v>
      </c>
      <c r="AG30" s="4">
        <f t="shared" si="2"/>
        <v>2</v>
      </c>
      <c r="AH30" s="4">
        <f>transform!CQ37</f>
        <v>1</v>
      </c>
      <c r="AI30" s="4">
        <f t="shared" si="9"/>
        <v>2</v>
      </c>
      <c r="AJ30" s="4">
        <f t="shared" si="10"/>
        <v>1</v>
      </c>
      <c r="AK30" s="4">
        <f t="shared" si="11"/>
        <v>1</v>
      </c>
      <c r="AL30" s="4">
        <f t="shared" si="12"/>
        <v>1</v>
      </c>
      <c r="AM30" s="4">
        <f t="shared" si="13"/>
        <v>1</v>
      </c>
      <c r="AN30" s="4">
        <f t="shared" si="14"/>
        <v>1</v>
      </c>
      <c r="AO30" s="4">
        <f t="shared" si="15"/>
        <v>2</v>
      </c>
      <c r="AP30" s="4">
        <f t="shared" si="16"/>
        <v>1</v>
      </c>
      <c r="AQ30" s="4">
        <f t="shared" si="17"/>
        <v>1</v>
      </c>
      <c r="AR30" s="4">
        <f t="shared" si="18"/>
        <v>1</v>
      </c>
    </row>
    <row r="31" spans="1:44">
      <c r="A31" s="4">
        <v>0</v>
      </c>
      <c r="B31" s="4">
        <f>transform!A66</f>
        <v>4</v>
      </c>
      <c r="C31" s="4">
        <f>transform!B66</f>
        <v>2</v>
      </c>
      <c r="D31" s="4">
        <f>transform!C66</f>
        <v>4</v>
      </c>
      <c r="E31" s="7">
        <f>transform!D66</f>
        <v>40876</v>
      </c>
      <c r="F31" s="8">
        <f>transform!E66</f>
        <v>2</v>
      </c>
      <c r="G31" s="4">
        <f>transform!F66</f>
        <v>1992</v>
      </c>
      <c r="H31" s="8">
        <f>transform!G66</f>
        <v>4</v>
      </c>
      <c r="I31" s="8">
        <f>transform!H66</f>
        <v>1</v>
      </c>
      <c r="J31" s="4">
        <v>0.142857142857143</v>
      </c>
      <c r="K31" s="4">
        <f>transform!CC66</f>
        <v>2</v>
      </c>
      <c r="L31" s="4">
        <f>transform!CD66</f>
        <v>1</v>
      </c>
      <c r="M31" s="4">
        <f>transform!CE66</f>
        <v>2</v>
      </c>
      <c r="N31" s="4">
        <f>transform!CF66</f>
        <v>1</v>
      </c>
      <c r="O31" s="4">
        <f>transform!CG66</f>
        <v>2</v>
      </c>
      <c r="P31" s="4">
        <f>transform!CH66</f>
        <v>1</v>
      </c>
      <c r="Q31" s="4">
        <f>transform!CI66</f>
        <v>0</v>
      </c>
      <c r="R31" s="4">
        <f>transform!CJ66</f>
        <v>2</v>
      </c>
      <c r="S31" s="4">
        <f t="shared" si="3"/>
        <v>0</v>
      </c>
      <c r="T31" s="4">
        <f t="shared" si="4"/>
        <v>0</v>
      </c>
      <c r="U31" s="4">
        <f t="shared" si="0"/>
        <v>1</v>
      </c>
      <c r="V31" s="4">
        <f>transform!CK66</f>
        <v>1</v>
      </c>
      <c r="W31" s="4">
        <f>transform!CL66</f>
        <v>0</v>
      </c>
      <c r="X31" s="4">
        <f>transform!CM66</f>
        <v>2</v>
      </c>
      <c r="Y31" s="4">
        <f t="shared" si="5"/>
        <v>0</v>
      </c>
      <c r="Z31" s="4">
        <f t="shared" si="6"/>
        <v>0</v>
      </c>
      <c r="AA31" s="4">
        <f t="shared" si="1"/>
        <v>1</v>
      </c>
      <c r="AB31" s="4">
        <f>transform!CN66</f>
        <v>1</v>
      </c>
      <c r="AC31" s="4">
        <f>transform!CO66</f>
        <v>0</v>
      </c>
      <c r="AD31" s="4">
        <f>transform!CP66</f>
        <v>2</v>
      </c>
      <c r="AE31" s="4">
        <f t="shared" si="7"/>
        <v>0</v>
      </c>
      <c r="AF31" s="4">
        <f t="shared" si="8"/>
        <v>0</v>
      </c>
      <c r="AG31" s="4">
        <f t="shared" si="2"/>
        <v>1</v>
      </c>
      <c r="AH31" s="4">
        <f>transform!CQ66</f>
        <v>1</v>
      </c>
      <c r="AI31" s="4">
        <f t="shared" si="9"/>
        <v>1</v>
      </c>
      <c r="AJ31" s="4">
        <f t="shared" si="10"/>
        <v>1</v>
      </c>
      <c r="AK31" s="4">
        <f t="shared" si="11"/>
        <v>1</v>
      </c>
      <c r="AL31" s="4">
        <f t="shared" si="12"/>
        <v>2</v>
      </c>
      <c r="AM31" s="4">
        <f t="shared" si="13"/>
        <v>2</v>
      </c>
      <c r="AN31" s="4">
        <f t="shared" si="14"/>
        <v>1</v>
      </c>
      <c r="AO31" s="4">
        <f t="shared" si="15"/>
        <v>1</v>
      </c>
      <c r="AP31" s="4">
        <f t="shared" si="16"/>
        <v>1</v>
      </c>
      <c r="AQ31" s="4">
        <f t="shared" si="17"/>
        <v>1</v>
      </c>
      <c r="AR31" s="4">
        <f t="shared" si="18"/>
        <v>1</v>
      </c>
    </row>
    <row r="32" spans="1:44">
      <c r="A32" s="4">
        <v>0</v>
      </c>
      <c r="B32" s="4">
        <f>transform!A24</f>
        <v>4</v>
      </c>
      <c r="C32" s="4">
        <f>transform!B24</f>
        <v>1</v>
      </c>
      <c r="D32" s="4">
        <f>transform!C24</f>
        <v>1</v>
      </c>
      <c r="E32" s="7">
        <f>transform!D24</f>
        <v>40876</v>
      </c>
      <c r="F32" s="8">
        <f>transform!E24</f>
        <v>2</v>
      </c>
      <c r="G32" s="4">
        <f>transform!F24</f>
        <v>1990</v>
      </c>
      <c r="H32" s="8">
        <f>transform!G24</f>
        <v>1</v>
      </c>
      <c r="I32" s="8">
        <f>transform!H24</f>
        <v>1</v>
      </c>
      <c r="J32" s="4">
        <v>0</v>
      </c>
      <c r="K32" s="4">
        <f>transform!CC24</f>
        <v>2</v>
      </c>
      <c r="L32" s="4">
        <f>transform!CD24</f>
        <v>2</v>
      </c>
      <c r="M32" s="4">
        <f>transform!CE24</f>
        <v>2</v>
      </c>
      <c r="N32" s="4">
        <f>transform!CF24</f>
        <v>2</v>
      </c>
      <c r="O32" s="4">
        <f>transform!CG24</f>
        <v>2</v>
      </c>
      <c r="P32" s="4">
        <f>transform!CH24</f>
        <v>1</v>
      </c>
      <c r="Q32" s="4">
        <f>transform!CI24</f>
        <v>1</v>
      </c>
      <c r="R32" s="4">
        <f>transform!CJ24</f>
        <v>2</v>
      </c>
      <c r="S32" s="4">
        <f t="shared" si="3"/>
        <v>0</v>
      </c>
      <c r="T32" s="4">
        <f t="shared" si="4"/>
        <v>1</v>
      </c>
      <c r="U32" s="4">
        <f t="shared" si="0"/>
        <v>3</v>
      </c>
      <c r="V32" s="4">
        <f>transform!CK24</f>
        <v>2</v>
      </c>
      <c r="W32" s="4">
        <f>transform!CL24</f>
        <v>0</v>
      </c>
      <c r="X32" s="4">
        <f>transform!CM24</f>
        <v>2</v>
      </c>
      <c r="Y32" s="4">
        <f t="shared" si="5"/>
        <v>0</v>
      </c>
      <c r="Z32" s="4">
        <f t="shared" si="6"/>
        <v>0</v>
      </c>
      <c r="AA32" s="4">
        <f t="shared" si="1"/>
        <v>1</v>
      </c>
      <c r="AB32" s="4">
        <f>transform!CN24</f>
        <v>2</v>
      </c>
      <c r="AC32" s="4">
        <f>transform!CO24</f>
        <v>0</v>
      </c>
      <c r="AD32" s="4">
        <f>transform!CP24</f>
        <v>2</v>
      </c>
      <c r="AE32" s="4">
        <f t="shared" si="7"/>
        <v>0</v>
      </c>
      <c r="AF32" s="4">
        <f t="shared" si="8"/>
        <v>0</v>
      </c>
      <c r="AG32" s="4">
        <f t="shared" si="2"/>
        <v>1</v>
      </c>
      <c r="AH32" s="4">
        <f>transform!CQ24</f>
        <v>1</v>
      </c>
      <c r="AI32" s="4">
        <f t="shared" si="9"/>
        <v>1</v>
      </c>
      <c r="AJ32" s="4">
        <f t="shared" si="10"/>
        <v>2</v>
      </c>
      <c r="AK32" s="4">
        <f t="shared" si="11"/>
        <v>1</v>
      </c>
      <c r="AL32" s="4">
        <f t="shared" si="12"/>
        <v>1</v>
      </c>
      <c r="AM32" s="4">
        <f t="shared" si="13"/>
        <v>1</v>
      </c>
      <c r="AN32" s="4">
        <f t="shared" si="14"/>
        <v>1</v>
      </c>
      <c r="AO32" s="4">
        <f t="shared" si="15"/>
        <v>1</v>
      </c>
      <c r="AP32" s="4">
        <f t="shared" si="16"/>
        <v>2</v>
      </c>
      <c r="AQ32" s="4">
        <f t="shared" si="17"/>
        <v>1</v>
      </c>
      <c r="AR32" s="4">
        <f t="shared" si="18"/>
        <v>1</v>
      </c>
    </row>
    <row r="33" spans="1:44">
      <c r="A33" s="4">
        <v>0</v>
      </c>
      <c r="B33" s="4">
        <f>transform!A25</f>
        <v>4</v>
      </c>
      <c r="C33" s="4">
        <f>transform!B25</f>
        <v>1</v>
      </c>
      <c r="D33" s="4">
        <f>transform!C25</f>
        <v>2</v>
      </c>
      <c r="E33" s="7">
        <f>transform!D25</f>
        <v>40876</v>
      </c>
      <c r="F33" s="8">
        <f>transform!E25</f>
        <v>2</v>
      </c>
      <c r="G33" s="4">
        <f>transform!F25</f>
        <v>1987</v>
      </c>
      <c r="H33" s="8">
        <f>transform!G25</f>
        <v>5</v>
      </c>
      <c r="I33" s="8">
        <f>transform!H25</f>
        <v>1</v>
      </c>
      <c r="J33" s="4">
        <v>0</v>
      </c>
      <c r="K33" s="4">
        <f>transform!CC25</f>
        <v>2</v>
      </c>
      <c r="L33" s="4">
        <f>transform!CD25</f>
        <v>2</v>
      </c>
      <c r="M33" s="4">
        <f>transform!CE25</f>
        <v>2</v>
      </c>
      <c r="N33" s="4">
        <f>transform!CF25</f>
        <v>2</v>
      </c>
      <c r="O33" s="4">
        <f>transform!CG25</f>
        <v>2</v>
      </c>
      <c r="P33" s="4">
        <f>transform!CH25</f>
        <v>2</v>
      </c>
      <c r="Q33" s="4">
        <f>transform!CI25</f>
        <v>0</v>
      </c>
      <c r="R33" s="4">
        <f>transform!CJ25</f>
        <v>2</v>
      </c>
      <c r="S33" s="4">
        <f t="shared" si="3"/>
        <v>0</v>
      </c>
      <c r="T33" s="4">
        <f t="shared" si="4"/>
        <v>0</v>
      </c>
      <c r="U33" s="4">
        <f t="shared" si="0"/>
        <v>1</v>
      </c>
      <c r="V33" s="4">
        <f>transform!CK25</f>
        <v>2</v>
      </c>
      <c r="W33" s="4">
        <f>transform!CL25</f>
        <v>0</v>
      </c>
      <c r="X33" s="4">
        <f>transform!CM25</f>
        <v>2</v>
      </c>
      <c r="Y33" s="4">
        <f t="shared" si="5"/>
        <v>0</v>
      </c>
      <c r="Z33" s="4">
        <f t="shared" si="6"/>
        <v>0</v>
      </c>
      <c r="AA33" s="4">
        <f t="shared" si="1"/>
        <v>1</v>
      </c>
      <c r="AB33" s="4">
        <f>transform!CN25</f>
        <v>2</v>
      </c>
      <c r="AC33" s="4">
        <f>transform!CO25</f>
        <v>0</v>
      </c>
      <c r="AD33" s="4">
        <f>transform!CP25</f>
        <v>2</v>
      </c>
      <c r="AE33" s="4">
        <f t="shared" si="7"/>
        <v>0</v>
      </c>
      <c r="AF33" s="4">
        <f t="shared" si="8"/>
        <v>0</v>
      </c>
      <c r="AG33" s="4">
        <f t="shared" si="2"/>
        <v>1</v>
      </c>
      <c r="AH33" s="4">
        <f>transform!CQ25</f>
        <v>2</v>
      </c>
      <c r="AI33" s="4">
        <f t="shared" si="9"/>
        <v>1</v>
      </c>
      <c r="AJ33" s="4">
        <f t="shared" si="10"/>
        <v>2</v>
      </c>
      <c r="AK33" s="4">
        <f t="shared" si="11"/>
        <v>1</v>
      </c>
      <c r="AL33" s="4">
        <f t="shared" si="12"/>
        <v>1</v>
      </c>
      <c r="AM33" s="4">
        <f t="shared" si="13"/>
        <v>1</v>
      </c>
      <c r="AN33" s="4">
        <f t="shared" si="14"/>
        <v>2</v>
      </c>
      <c r="AO33" s="4">
        <f t="shared" si="15"/>
        <v>1</v>
      </c>
      <c r="AP33" s="4">
        <f t="shared" si="16"/>
        <v>1</v>
      </c>
      <c r="AQ33" s="4">
        <f t="shared" si="17"/>
        <v>1</v>
      </c>
      <c r="AR33" s="4">
        <f t="shared" si="18"/>
        <v>1</v>
      </c>
    </row>
    <row r="34" spans="1:44">
      <c r="A34" s="4">
        <v>0</v>
      </c>
      <c r="B34" s="4">
        <f>transform!A26</f>
        <v>4</v>
      </c>
      <c r="C34" s="4">
        <f>transform!B26</f>
        <v>1</v>
      </c>
      <c r="D34" s="4">
        <f>transform!C26</f>
        <v>3</v>
      </c>
      <c r="E34" s="7">
        <f>transform!D26</f>
        <v>40883</v>
      </c>
      <c r="F34" s="8">
        <f>transform!E26</f>
        <v>2</v>
      </c>
      <c r="G34" s="4">
        <f>transform!F26</f>
        <v>1987</v>
      </c>
      <c r="H34" s="8">
        <f>transform!G26</f>
        <v>4</v>
      </c>
      <c r="I34" s="8">
        <f>transform!H26</f>
        <v>1</v>
      </c>
      <c r="J34" s="4">
        <v>0</v>
      </c>
      <c r="K34" s="4">
        <f>transform!CC26</f>
        <v>1</v>
      </c>
      <c r="L34" s="4">
        <f>transform!CD26</f>
        <v>2</v>
      </c>
      <c r="M34" s="4">
        <f>transform!CE26</f>
        <v>1</v>
      </c>
      <c r="N34" s="4">
        <f>transform!CF26</f>
        <v>2</v>
      </c>
      <c r="O34" s="4">
        <f>transform!CG26</f>
        <v>1</v>
      </c>
      <c r="P34" s="4">
        <f>transform!CH26</f>
        <v>2</v>
      </c>
      <c r="Q34" s="4">
        <f>transform!CI26</f>
        <v>0</v>
      </c>
      <c r="R34" s="4">
        <f>transform!CJ26</f>
        <v>1</v>
      </c>
      <c r="S34" s="4">
        <f t="shared" si="3"/>
        <v>0</v>
      </c>
      <c r="T34" s="4">
        <f t="shared" si="4"/>
        <v>0</v>
      </c>
      <c r="U34" s="4">
        <f t="shared" si="0"/>
        <v>1</v>
      </c>
      <c r="V34" s="4">
        <f>transform!CK26</f>
        <v>2</v>
      </c>
      <c r="W34" s="4">
        <f>transform!CL26</f>
        <v>0</v>
      </c>
      <c r="X34" s="4">
        <f>transform!CM26</f>
        <v>1</v>
      </c>
      <c r="Y34" s="4">
        <f t="shared" si="5"/>
        <v>0</v>
      </c>
      <c r="Z34" s="4">
        <f t="shared" si="6"/>
        <v>0</v>
      </c>
      <c r="AA34" s="4">
        <f t="shared" si="1"/>
        <v>1</v>
      </c>
      <c r="AB34" s="4">
        <f>transform!CN26</f>
        <v>2</v>
      </c>
      <c r="AC34" s="4">
        <f>transform!CO26</f>
        <v>0</v>
      </c>
      <c r="AD34" s="4">
        <f>transform!CP26</f>
        <v>1</v>
      </c>
      <c r="AE34" s="4">
        <f t="shared" si="7"/>
        <v>0</v>
      </c>
      <c r="AF34" s="4">
        <f t="shared" si="8"/>
        <v>0</v>
      </c>
      <c r="AG34" s="4">
        <f t="shared" si="2"/>
        <v>1</v>
      </c>
      <c r="AH34" s="4">
        <f>transform!CQ26</f>
        <v>2</v>
      </c>
      <c r="AI34" s="4">
        <f t="shared" si="9"/>
        <v>1</v>
      </c>
      <c r="AJ34" s="4">
        <f t="shared" si="10"/>
        <v>1</v>
      </c>
      <c r="AK34" s="4">
        <f t="shared" si="11"/>
        <v>2</v>
      </c>
      <c r="AL34" s="4">
        <f t="shared" si="12"/>
        <v>1</v>
      </c>
      <c r="AM34" s="4">
        <f t="shared" si="13"/>
        <v>1</v>
      </c>
      <c r="AN34" s="4">
        <f t="shared" si="14"/>
        <v>2</v>
      </c>
      <c r="AO34" s="4">
        <f t="shared" si="15"/>
        <v>1</v>
      </c>
      <c r="AP34" s="4">
        <f t="shared" si="16"/>
        <v>1</v>
      </c>
      <c r="AQ34" s="4">
        <f t="shared" si="17"/>
        <v>1</v>
      </c>
      <c r="AR34" s="4">
        <f t="shared" si="18"/>
        <v>1</v>
      </c>
    </row>
    <row r="35" spans="1:44">
      <c r="A35" s="4">
        <v>0</v>
      </c>
      <c r="B35" s="4">
        <f>transform!A27</f>
        <v>4</v>
      </c>
      <c r="C35" s="4">
        <f>transform!B27</f>
        <v>1</v>
      </c>
      <c r="D35" s="4">
        <f>transform!C27</f>
        <v>4</v>
      </c>
      <c r="E35" s="7">
        <f>transform!D27</f>
        <v>40876</v>
      </c>
      <c r="F35" s="8">
        <f>transform!E27</f>
        <v>2</v>
      </c>
      <c r="G35" s="4">
        <f>transform!F27</f>
        <v>1991</v>
      </c>
      <c r="H35" s="8">
        <f>transform!G27</f>
        <v>4</v>
      </c>
      <c r="I35" s="8">
        <f>transform!H27</f>
        <v>1</v>
      </c>
      <c r="J35" s="4">
        <v>0</v>
      </c>
      <c r="K35" s="4">
        <f>transform!CC27</f>
        <v>2</v>
      </c>
      <c r="L35" s="4">
        <f>transform!CD27</f>
        <v>2</v>
      </c>
      <c r="M35" s="4">
        <f>transform!CE27</f>
        <v>2</v>
      </c>
      <c r="N35" s="4">
        <f>transform!CF27</f>
        <v>2</v>
      </c>
      <c r="O35" s="4">
        <f>transform!CG27</f>
        <v>2</v>
      </c>
      <c r="P35" s="4">
        <f>transform!CH27</f>
        <v>2</v>
      </c>
      <c r="Q35" s="4">
        <f>transform!CI27</f>
        <v>1</v>
      </c>
      <c r="R35" s="4">
        <f>transform!CJ27</f>
        <v>2</v>
      </c>
      <c r="S35" s="4">
        <f t="shared" si="3"/>
        <v>0</v>
      </c>
      <c r="T35" s="4">
        <f t="shared" si="4"/>
        <v>1</v>
      </c>
      <c r="U35" s="4">
        <f t="shared" si="0"/>
        <v>3</v>
      </c>
      <c r="V35" s="4">
        <f>transform!CK27</f>
        <v>2</v>
      </c>
      <c r="W35" s="4">
        <f>transform!CL27</f>
        <v>1</v>
      </c>
      <c r="X35" s="4">
        <f>transform!CM27</f>
        <v>2</v>
      </c>
      <c r="Y35" s="4">
        <f t="shared" si="5"/>
        <v>0</v>
      </c>
      <c r="Z35" s="4">
        <f t="shared" si="6"/>
        <v>1</v>
      </c>
      <c r="AA35" s="4">
        <f t="shared" si="1"/>
        <v>3</v>
      </c>
      <c r="AB35" s="4">
        <f>transform!CN27</f>
        <v>2</v>
      </c>
      <c r="AC35" s="4">
        <f>transform!CO27</f>
        <v>1</v>
      </c>
      <c r="AD35" s="4">
        <f>transform!CP27</f>
        <v>2</v>
      </c>
      <c r="AE35" s="4">
        <f t="shared" si="7"/>
        <v>0</v>
      </c>
      <c r="AF35" s="4">
        <f t="shared" si="8"/>
        <v>1</v>
      </c>
      <c r="AG35" s="4">
        <f t="shared" si="2"/>
        <v>3</v>
      </c>
      <c r="AH35" s="4">
        <f>transform!CQ27</f>
        <v>2</v>
      </c>
      <c r="AI35" s="4">
        <f t="shared" si="9"/>
        <v>1</v>
      </c>
      <c r="AJ35" s="4">
        <f t="shared" si="10"/>
        <v>2</v>
      </c>
      <c r="AK35" s="4">
        <f t="shared" si="11"/>
        <v>1</v>
      </c>
      <c r="AL35" s="4">
        <f t="shared" si="12"/>
        <v>1</v>
      </c>
      <c r="AM35" s="4">
        <f t="shared" si="13"/>
        <v>1</v>
      </c>
      <c r="AN35" s="4">
        <f t="shared" si="14"/>
        <v>1</v>
      </c>
      <c r="AO35" s="4">
        <f t="shared" si="15"/>
        <v>1</v>
      </c>
      <c r="AP35" s="4">
        <f t="shared" si="16"/>
        <v>2</v>
      </c>
      <c r="AQ35" s="4">
        <f t="shared" si="17"/>
        <v>1</v>
      </c>
      <c r="AR35" s="4">
        <f t="shared" si="18"/>
        <v>1</v>
      </c>
    </row>
    <row r="36" spans="1:44">
      <c r="A36" s="4">
        <v>0</v>
      </c>
      <c r="B36" s="4">
        <f>transform!A28</f>
        <v>4</v>
      </c>
      <c r="C36" s="4">
        <f>transform!B28</f>
        <v>1</v>
      </c>
      <c r="D36" s="4">
        <f>transform!C28</f>
        <v>5</v>
      </c>
      <c r="E36" s="7">
        <f>transform!D28</f>
        <v>40876</v>
      </c>
      <c r="F36" s="8">
        <f>transform!E28</f>
        <v>2</v>
      </c>
      <c r="G36" s="4">
        <f>transform!F28</f>
        <v>1993</v>
      </c>
      <c r="H36" s="8">
        <f>transform!G28</f>
        <v>4</v>
      </c>
      <c r="I36" s="4">
        <f>transform!H28</f>
        <v>2</v>
      </c>
      <c r="J36" s="4">
        <v>0</v>
      </c>
      <c r="K36" s="4">
        <f>transform!CC28</f>
        <v>1</v>
      </c>
      <c r="L36" s="4">
        <f>transform!CD28</f>
        <v>2</v>
      </c>
      <c r="M36" s="4">
        <f>transform!CE28</f>
        <v>1</v>
      </c>
      <c r="N36" s="4">
        <f>transform!CF28</f>
        <v>2</v>
      </c>
      <c r="O36" s="4">
        <f>transform!CG28</f>
        <v>1</v>
      </c>
      <c r="P36" s="4">
        <f>transform!CH28</f>
        <v>2</v>
      </c>
      <c r="Q36" s="4">
        <f>transform!CI28</f>
        <v>0</v>
      </c>
      <c r="R36" s="4">
        <f>transform!CJ28</f>
        <v>1</v>
      </c>
      <c r="S36" s="4">
        <f t="shared" si="3"/>
        <v>0</v>
      </c>
      <c r="T36" s="4">
        <f t="shared" si="4"/>
        <v>0</v>
      </c>
      <c r="U36" s="4">
        <f t="shared" si="0"/>
        <v>1</v>
      </c>
      <c r="V36" s="4">
        <f>transform!CK28</f>
        <v>1</v>
      </c>
      <c r="W36" s="4">
        <f>transform!CL28</f>
        <v>0</v>
      </c>
      <c r="X36" s="4">
        <f>transform!CM28</f>
        <v>1</v>
      </c>
      <c r="Y36" s="4">
        <f t="shared" si="5"/>
        <v>0</v>
      </c>
      <c r="Z36" s="4">
        <f t="shared" si="6"/>
        <v>0</v>
      </c>
      <c r="AA36" s="4">
        <f t="shared" si="1"/>
        <v>1</v>
      </c>
      <c r="AB36" s="4">
        <f>transform!CN28</f>
        <v>1</v>
      </c>
      <c r="AC36" s="4">
        <f>transform!CO28</f>
        <v>0</v>
      </c>
      <c r="AD36" s="4">
        <f>transform!CP28</f>
        <v>1</v>
      </c>
      <c r="AE36" s="4">
        <f t="shared" si="7"/>
        <v>0</v>
      </c>
      <c r="AF36" s="4">
        <f t="shared" si="8"/>
        <v>0</v>
      </c>
      <c r="AG36" s="4">
        <f t="shared" si="2"/>
        <v>1</v>
      </c>
      <c r="AH36" s="4">
        <f>transform!CQ28</f>
        <v>2</v>
      </c>
      <c r="AI36" s="4">
        <f t="shared" si="9"/>
        <v>1</v>
      </c>
      <c r="AJ36" s="4">
        <f t="shared" si="10"/>
        <v>1</v>
      </c>
      <c r="AK36" s="4">
        <f t="shared" si="11"/>
        <v>2</v>
      </c>
      <c r="AL36" s="4">
        <f t="shared" si="12"/>
        <v>1</v>
      </c>
      <c r="AM36" s="4">
        <f t="shared" si="13"/>
        <v>2</v>
      </c>
      <c r="AN36" s="4">
        <f t="shared" si="14"/>
        <v>1</v>
      </c>
      <c r="AO36" s="4">
        <f t="shared" si="15"/>
        <v>1</v>
      </c>
      <c r="AP36" s="4">
        <f t="shared" si="16"/>
        <v>1</v>
      </c>
      <c r="AQ36" s="4">
        <f t="shared" si="17"/>
        <v>1</v>
      </c>
      <c r="AR36" s="4">
        <f t="shared" si="18"/>
        <v>1</v>
      </c>
    </row>
    <row r="37" spans="1:44">
      <c r="A37" s="4">
        <v>0</v>
      </c>
      <c r="B37" s="4">
        <f>transform!A29</f>
        <v>4</v>
      </c>
      <c r="C37" s="4">
        <f>transform!B29</f>
        <v>1</v>
      </c>
      <c r="D37" s="4">
        <f>transform!C29</f>
        <v>6</v>
      </c>
      <c r="E37" s="7">
        <f>transform!D29</f>
        <v>40876</v>
      </c>
      <c r="F37" s="8">
        <f>transform!E29</f>
        <v>2</v>
      </c>
      <c r="G37" s="4">
        <f>transform!F29</f>
        <v>1991</v>
      </c>
      <c r="H37" s="8">
        <f>transform!G29</f>
        <v>2</v>
      </c>
      <c r="I37" s="8">
        <f>transform!H29</f>
        <v>1</v>
      </c>
      <c r="J37" s="4">
        <v>0</v>
      </c>
      <c r="K37" s="4">
        <f>transform!CC29</f>
        <v>2</v>
      </c>
      <c r="L37" s="4">
        <f>transform!CD29</f>
        <v>1</v>
      </c>
      <c r="M37" s="4">
        <f>transform!CE29</f>
        <v>2</v>
      </c>
      <c r="N37" s="4">
        <f>transform!CF29</f>
        <v>1</v>
      </c>
      <c r="O37" s="4">
        <f>transform!CG29</f>
        <v>2</v>
      </c>
      <c r="P37" s="4">
        <f>transform!CH29</f>
        <v>1</v>
      </c>
      <c r="Q37" s="4">
        <f>transform!CI29</f>
        <v>0</v>
      </c>
      <c r="R37" s="4">
        <f>transform!CJ29</f>
        <v>2</v>
      </c>
      <c r="S37" s="4">
        <f t="shared" si="3"/>
        <v>0</v>
      </c>
      <c r="T37" s="4">
        <f t="shared" si="4"/>
        <v>0</v>
      </c>
      <c r="U37" s="4">
        <f t="shared" si="0"/>
        <v>1</v>
      </c>
      <c r="V37" s="4">
        <f>transform!CK29</f>
        <v>1</v>
      </c>
      <c r="W37" s="4">
        <f>transform!CL29</f>
        <v>0</v>
      </c>
      <c r="X37" s="4">
        <f>transform!CM29</f>
        <v>2</v>
      </c>
      <c r="Y37" s="4">
        <f t="shared" si="5"/>
        <v>0</v>
      </c>
      <c r="Z37" s="4">
        <f t="shared" si="6"/>
        <v>0</v>
      </c>
      <c r="AA37" s="4">
        <f t="shared" si="1"/>
        <v>1</v>
      </c>
      <c r="AB37" s="4">
        <f>transform!CN29</f>
        <v>1</v>
      </c>
      <c r="AC37" s="4">
        <f>transform!CO29</f>
        <v>0</v>
      </c>
      <c r="AD37" s="4">
        <f>transform!CP29</f>
        <v>2</v>
      </c>
      <c r="AE37" s="4">
        <f t="shared" si="7"/>
        <v>0</v>
      </c>
      <c r="AF37" s="4">
        <f t="shared" si="8"/>
        <v>0</v>
      </c>
      <c r="AG37" s="4">
        <f t="shared" si="2"/>
        <v>1</v>
      </c>
      <c r="AH37" s="4">
        <f>transform!CQ29</f>
        <v>1</v>
      </c>
      <c r="AI37" s="4">
        <f t="shared" si="9"/>
        <v>1</v>
      </c>
      <c r="AJ37" s="4">
        <f t="shared" si="10"/>
        <v>1</v>
      </c>
      <c r="AK37" s="4">
        <f t="shared" si="11"/>
        <v>1</v>
      </c>
      <c r="AL37" s="4">
        <f t="shared" si="12"/>
        <v>2</v>
      </c>
      <c r="AM37" s="4">
        <f t="shared" si="13"/>
        <v>2</v>
      </c>
      <c r="AN37" s="4">
        <f t="shared" si="14"/>
        <v>1</v>
      </c>
      <c r="AO37" s="4">
        <f t="shared" si="15"/>
        <v>1</v>
      </c>
      <c r="AP37" s="4">
        <f t="shared" si="16"/>
        <v>1</v>
      </c>
      <c r="AQ37" s="4">
        <f t="shared" si="17"/>
        <v>1</v>
      </c>
      <c r="AR37" s="4">
        <f t="shared" si="18"/>
        <v>1</v>
      </c>
    </row>
    <row r="38" spans="1:44">
      <c r="A38" s="4">
        <v>0</v>
      </c>
      <c r="B38" s="4">
        <f>transform!A30</f>
        <v>4</v>
      </c>
      <c r="C38" s="4">
        <f>transform!B30</f>
        <v>1</v>
      </c>
      <c r="D38" s="4">
        <f>transform!C30</f>
        <v>7</v>
      </c>
      <c r="E38" s="7">
        <f>transform!D30</f>
        <v>40876</v>
      </c>
      <c r="F38" s="8">
        <f>transform!E30</f>
        <v>2</v>
      </c>
      <c r="G38" s="4">
        <f>transform!F30</f>
        <v>1993</v>
      </c>
      <c r="H38" s="8">
        <f>transform!G30</f>
        <v>1</v>
      </c>
      <c r="I38" s="8">
        <f>transform!H30</f>
        <v>1</v>
      </c>
      <c r="J38" s="4">
        <v>0</v>
      </c>
      <c r="K38" s="4">
        <f>transform!CC30</f>
        <v>2</v>
      </c>
      <c r="L38" s="4">
        <f>transform!CD30</f>
        <v>2</v>
      </c>
      <c r="M38" s="4">
        <f>transform!CE30</f>
        <v>2</v>
      </c>
      <c r="N38" s="4">
        <f>transform!CF30</f>
        <v>2</v>
      </c>
      <c r="O38" s="4">
        <f>transform!CG30</f>
        <v>2</v>
      </c>
      <c r="P38" s="4">
        <f>transform!CH30</f>
        <v>2</v>
      </c>
      <c r="Q38" s="4">
        <f>transform!CI30</f>
        <v>1</v>
      </c>
      <c r="R38" s="4">
        <f>transform!CJ30</f>
        <v>2</v>
      </c>
      <c r="S38" s="4">
        <f t="shared" si="3"/>
        <v>0</v>
      </c>
      <c r="T38" s="4">
        <f t="shared" si="4"/>
        <v>1</v>
      </c>
      <c r="U38" s="4">
        <f t="shared" si="0"/>
        <v>3</v>
      </c>
      <c r="V38" s="4">
        <f>transform!CK30</f>
        <v>2</v>
      </c>
      <c r="W38" s="4">
        <f>transform!CL30</f>
        <v>0</v>
      </c>
      <c r="X38" s="4">
        <f>transform!CM30</f>
        <v>2</v>
      </c>
      <c r="Y38" s="4">
        <f t="shared" si="5"/>
        <v>0</v>
      </c>
      <c r="Z38" s="4">
        <f t="shared" si="6"/>
        <v>0</v>
      </c>
      <c r="AA38" s="4">
        <f t="shared" si="1"/>
        <v>1</v>
      </c>
      <c r="AB38" s="4">
        <f>transform!CN30</f>
        <v>2</v>
      </c>
      <c r="AC38" s="4">
        <f>transform!CO30</f>
        <v>0</v>
      </c>
      <c r="AD38" s="4">
        <f>transform!CP30</f>
        <v>2</v>
      </c>
      <c r="AE38" s="4">
        <f t="shared" si="7"/>
        <v>0</v>
      </c>
      <c r="AF38" s="4">
        <f t="shared" si="8"/>
        <v>0</v>
      </c>
      <c r="AG38" s="4">
        <f t="shared" si="2"/>
        <v>1</v>
      </c>
      <c r="AH38" s="4">
        <f>transform!CQ30</f>
        <v>2</v>
      </c>
      <c r="AI38" s="4">
        <f t="shared" si="9"/>
        <v>1</v>
      </c>
      <c r="AJ38" s="4">
        <f t="shared" si="10"/>
        <v>2</v>
      </c>
      <c r="AK38" s="4">
        <f t="shared" si="11"/>
        <v>1</v>
      </c>
      <c r="AL38" s="4">
        <f t="shared" si="12"/>
        <v>1</v>
      </c>
      <c r="AM38" s="4">
        <f t="shared" si="13"/>
        <v>1</v>
      </c>
      <c r="AN38" s="4">
        <f t="shared" si="14"/>
        <v>1</v>
      </c>
      <c r="AO38" s="4">
        <f t="shared" si="15"/>
        <v>1</v>
      </c>
      <c r="AP38" s="4">
        <f t="shared" si="16"/>
        <v>2</v>
      </c>
      <c r="AQ38" s="4">
        <f t="shared" si="17"/>
        <v>1</v>
      </c>
      <c r="AR38" s="4">
        <f t="shared" si="18"/>
        <v>1</v>
      </c>
    </row>
    <row r="39" spans="1:44">
      <c r="A39" s="4">
        <v>0</v>
      </c>
      <c r="B39" s="4">
        <f>transform!A31</f>
        <v>4</v>
      </c>
      <c r="C39" s="4">
        <f>transform!B31</f>
        <v>1</v>
      </c>
      <c r="D39" s="4">
        <f>transform!C31</f>
        <v>8</v>
      </c>
      <c r="E39" s="7">
        <f>transform!D31</f>
        <v>40876</v>
      </c>
      <c r="F39" s="8">
        <f>transform!E31</f>
        <v>2</v>
      </c>
      <c r="G39" s="4">
        <f>transform!F31</f>
        <v>1993</v>
      </c>
      <c r="H39" s="8">
        <f>transform!G31</f>
        <v>1</v>
      </c>
      <c r="I39" s="8">
        <f>transform!H31</f>
        <v>1</v>
      </c>
      <c r="J39" s="4">
        <v>0</v>
      </c>
      <c r="K39" s="4">
        <f>transform!CC31</f>
        <v>1</v>
      </c>
      <c r="L39" s="4">
        <f>transform!CD31</f>
        <v>2</v>
      </c>
      <c r="M39" s="4">
        <f>transform!CE31</f>
        <v>1</v>
      </c>
      <c r="N39" s="4">
        <f>transform!CF31</f>
        <v>2</v>
      </c>
      <c r="O39" s="4">
        <f>transform!CG31</f>
        <v>1</v>
      </c>
      <c r="P39" s="4">
        <f>transform!CH31</f>
        <v>2</v>
      </c>
      <c r="Q39" s="4">
        <f>transform!CI31</f>
        <v>0</v>
      </c>
      <c r="R39" s="4">
        <f>transform!CJ31</f>
        <v>1</v>
      </c>
      <c r="S39" s="4">
        <f t="shared" si="3"/>
        <v>0</v>
      </c>
      <c r="T39" s="4">
        <f t="shared" si="4"/>
        <v>0</v>
      </c>
      <c r="U39" s="4">
        <f t="shared" si="0"/>
        <v>1</v>
      </c>
      <c r="V39" s="4">
        <f>transform!CK31</f>
        <v>2</v>
      </c>
      <c r="W39" s="4">
        <f>transform!CL31</f>
        <v>0</v>
      </c>
      <c r="X39" s="4">
        <f>transform!CM31</f>
        <v>1</v>
      </c>
      <c r="Y39" s="4">
        <f t="shared" si="5"/>
        <v>0</v>
      </c>
      <c r="Z39" s="4">
        <f t="shared" si="6"/>
        <v>0</v>
      </c>
      <c r="AA39" s="4">
        <f t="shared" si="1"/>
        <v>1</v>
      </c>
      <c r="AB39" s="4">
        <f>transform!CN31</f>
        <v>2</v>
      </c>
      <c r="AC39" s="4">
        <f>transform!CO31</f>
        <v>0</v>
      </c>
      <c r="AD39" s="4">
        <f>transform!CP31</f>
        <v>1</v>
      </c>
      <c r="AE39" s="4">
        <f t="shared" si="7"/>
        <v>0</v>
      </c>
      <c r="AF39" s="4">
        <f t="shared" si="8"/>
        <v>0</v>
      </c>
      <c r="AG39" s="4">
        <f t="shared" si="2"/>
        <v>1</v>
      </c>
      <c r="AH39" s="4">
        <f>transform!CQ31</f>
        <v>2</v>
      </c>
      <c r="AI39" s="4">
        <f t="shared" si="9"/>
        <v>1</v>
      </c>
      <c r="AJ39" s="4">
        <f t="shared" si="10"/>
        <v>1</v>
      </c>
      <c r="AK39" s="4">
        <f t="shared" si="11"/>
        <v>2</v>
      </c>
      <c r="AL39" s="4">
        <f t="shared" si="12"/>
        <v>1</v>
      </c>
      <c r="AM39" s="4">
        <f t="shared" si="13"/>
        <v>1</v>
      </c>
      <c r="AN39" s="4">
        <f t="shared" si="14"/>
        <v>2</v>
      </c>
      <c r="AO39" s="4">
        <f t="shared" si="15"/>
        <v>1</v>
      </c>
      <c r="AP39" s="4">
        <f t="shared" si="16"/>
        <v>1</v>
      </c>
      <c r="AQ39" s="4">
        <f t="shared" si="17"/>
        <v>1</v>
      </c>
      <c r="AR39" s="4">
        <f t="shared" si="18"/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2"/>
  <sheetViews>
    <sheetView workbookViewId="0">
      <selection activeCell="I34" sqref="I34"/>
    </sheetView>
  </sheetViews>
  <sheetFormatPr defaultColWidth="8.83636363636364" defaultRowHeight="14"/>
  <cols>
    <col min="1" max="4" width="8.83636363636364" style="4"/>
    <col min="5" max="5" width="15.5" style="4" customWidth="1"/>
    <col min="6" max="6" width="9.66363636363636" style="4" customWidth="1"/>
    <col min="7" max="7" width="9.33636363636364" style="4" customWidth="1"/>
    <col min="8" max="8" width="8.83636363636364" style="4"/>
    <col min="9" max="9" width="13.1636363636364" style="4" customWidth="1"/>
    <col min="10" max="10" width="12.1636363636364" style="4" customWidth="1"/>
    <col min="11" max="20" width="8.83636363636364" style="4"/>
    <col min="21" max="21" width="9.66363636363636" style="4" customWidth="1"/>
    <col min="22" max="26" width="8.83636363636364" style="4"/>
    <col min="27" max="27" width="9.83636363636364" style="4" customWidth="1"/>
    <col min="28" max="32" width="8.83636363636364" style="4"/>
    <col min="33" max="33" width="9.66363636363636" style="4" customWidth="1"/>
    <col min="34" max="16384" width="8.83636363636364" style="4"/>
  </cols>
  <sheetData>
    <row r="1" ht="14.75" spans="1:44">
      <c r="A1" s="5" t="s">
        <v>542</v>
      </c>
      <c r="B1" s="5" t="s">
        <v>0</v>
      </c>
      <c r="C1" s="5" t="s">
        <v>323</v>
      </c>
      <c r="D1" s="5" t="s">
        <v>1</v>
      </c>
      <c r="E1" s="5" t="s">
        <v>324</v>
      </c>
      <c r="F1" s="5" t="s">
        <v>325</v>
      </c>
      <c r="G1" s="5" t="s">
        <v>326</v>
      </c>
      <c r="H1" s="5" t="s">
        <v>5</v>
      </c>
      <c r="I1" s="5" t="s">
        <v>327</v>
      </c>
      <c r="J1" s="5" t="s">
        <v>585</v>
      </c>
      <c r="K1" s="5" t="s">
        <v>400</v>
      </c>
      <c r="L1" s="5" t="s">
        <v>401</v>
      </c>
      <c r="M1" s="5" t="s">
        <v>402</v>
      </c>
      <c r="N1" s="5" t="s">
        <v>403</v>
      </c>
      <c r="O1" s="5" t="s">
        <v>404</v>
      </c>
      <c r="P1" s="5" t="s">
        <v>405</v>
      </c>
      <c r="Q1" s="5" t="s">
        <v>406</v>
      </c>
      <c r="R1" s="5" t="s">
        <v>407</v>
      </c>
      <c r="S1" s="5" t="s">
        <v>545</v>
      </c>
      <c r="T1" s="5" t="s">
        <v>546</v>
      </c>
      <c r="U1" s="5" t="s">
        <v>547</v>
      </c>
      <c r="V1" s="5" t="s">
        <v>408</v>
      </c>
      <c r="W1" s="5" t="s">
        <v>409</v>
      </c>
      <c r="X1" s="5" t="s">
        <v>410</v>
      </c>
      <c r="Y1" s="5" t="s">
        <v>548</v>
      </c>
      <c r="Z1" s="5" t="s">
        <v>549</v>
      </c>
      <c r="AA1" s="5" t="s">
        <v>550</v>
      </c>
      <c r="AB1" s="5" t="s">
        <v>411</v>
      </c>
      <c r="AC1" s="5" t="s">
        <v>412</v>
      </c>
      <c r="AD1" s="5" t="s">
        <v>413</v>
      </c>
      <c r="AE1" s="5" t="s">
        <v>551</v>
      </c>
      <c r="AF1" s="5" t="s">
        <v>552</v>
      </c>
      <c r="AG1" s="5" t="s">
        <v>553</v>
      </c>
      <c r="AH1" s="5" t="s">
        <v>414</v>
      </c>
      <c r="AI1" s="6" t="s">
        <v>554</v>
      </c>
      <c r="AJ1" s="6" t="s">
        <v>555</v>
      </c>
      <c r="AK1" s="6" t="s">
        <v>556</v>
      </c>
      <c r="AL1" s="6" t="s">
        <v>557</v>
      </c>
      <c r="AM1" s="5" t="s">
        <v>566</v>
      </c>
      <c r="AN1" s="5" t="s">
        <v>567</v>
      </c>
      <c r="AO1" s="5" t="s">
        <v>568</v>
      </c>
      <c r="AP1" s="5" t="s">
        <v>569</v>
      </c>
      <c r="AQ1" s="5" t="s">
        <v>570</v>
      </c>
      <c r="AR1" s="5" t="s">
        <v>571</v>
      </c>
    </row>
    <row r="2" spans="1:44">
      <c r="A2" s="4">
        <v>0</v>
      </c>
      <c r="B2" s="4">
        <f>transform!A3</f>
        <v>1</v>
      </c>
      <c r="C2" s="4">
        <f>transform!B3</f>
        <v>1</v>
      </c>
      <c r="D2" s="4">
        <f>transform!C3</f>
        <v>2</v>
      </c>
      <c r="E2" s="7">
        <f>transform!D3</f>
        <v>40876</v>
      </c>
      <c r="F2" s="4">
        <f>transform!E3</f>
        <v>1</v>
      </c>
      <c r="G2" s="4">
        <f>transform!F3</f>
        <v>1988</v>
      </c>
      <c r="H2" s="8">
        <f>transform!G3</f>
        <v>4</v>
      </c>
      <c r="I2" s="8">
        <f>transform!H3</f>
        <v>1</v>
      </c>
      <c r="J2" s="4">
        <v>0.285714285714286</v>
      </c>
      <c r="K2" s="4">
        <f>transform!CC3</f>
        <v>2</v>
      </c>
      <c r="L2" s="4">
        <f>transform!CD3</f>
        <v>2</v>
      </c>
      <c r="M2" s="4">
        <f>transform!CE3</f>
        <v>1</v>
      </c>
      <c r="N2" s="4">
        <f>transform!CF3</f>
        <v>2</v>
      </c>
      <c r="O2" s="4">
        <f>transform!CG3</f>
        <v>1</v>
      </c>
      <c r="P2" s="4">
        <f>transform!CH3</f>
        <v>2</v>
      </c>
      <c r="Q2" s="4">
        <f>transform!CI3</f>
        <v>1</v>
      </c>
      <c r="R2" s="4">
        <f>transform!CJ3</f>
        <v>1</v>
      </c>
      <c r="S2" s="4">
        <f>IF(Q2=1,IF(R2=1,1,0),0)</f>
        <v>1</v>
      </c>
      <c r="T2" s="4">
        <f>IF(Q2=1,IF(R2=2,1,0),0)</f>
        <v>0</v>
      </c>
      <c r="U2" s="4">
        <f t="shared" ref="U2:U32" si="0">IF(Q2=1,R2+1,IF(NOT(R2=0),1,0))</f>
        <v>2</v>
      </c>
      <c r="V2" s="4">
        <f>transform!CK3</f>
        <v>2</v>
      </c>
      <c r="W2" s="4">
        <f>transform!CL3</f>
        <v>1</v>
      </c>
      <c r="X2" s="4">
        <f>transform!CM3</f>
        <v>1</v>
      </c>
      <c r="Y2" s="4">
        <f>IF(W2=1,IF(X2=1,1,0),0)</f>
        <v>1</v>
      </c>
      <c r="Z2" s="4">
        <f>IF(W2=1,IF(X2=2,1,0),0)</f>
        <v>0</v>
      </c>
      <c r="AA2" s="4">
        <f t="shared" ref="AA2:AA32" si="1">IF(W2=1,X2+1,IF(NOT(X2=0),1,0))</f>
        <v>2</v>
      </c>
      <c r="AB2" s="4">
        <f>transform!CN3</f>
        <v>2</v>
      </c>
      <c r="AC2" s="4">
        <f>transform!CO3</f>
        <v>1</v>
      </c>
      <c r="AD2" s="4">
        <f>transform!CP3</f>
        <v>1</v>
      </c>
      <c r="AE2" s="4">
        <f>IF(AC2=1,IF(AD2=1,1,0),0)</f>
        <v>1</v>
      </c>
      <c r="AF2" s="4">
        <f>IF(AC2=1,IF(AD2=2,1,0),0)</f>
        <v>0</v>
      </c>
      <c r="AG2" s="4">
        <f t="shared" ref="AG2:AG32" si="2">IF(AC2=1,AD2+1,IF(NOT(AD2=0),1,0))</f>
        <v>2</v>
      </c>
      <c r="AH2" s="4">
        <f>transform!CQ3</f>
        <v>2</v>
      </c>
      <c r="AI2" s="4">
        <f>IF(AND($K2=1,$L2=1),2,1)</f>
        <v>1</v>
      </c>
      <c r="AJ2" s="4">
        <f>IF(AND($K2=2,$L2=2),2,1)</f>
        <v>2</v>
      </c>
      <c r="AK2" s="4">
        <f>IF(AND($K2=1,$L2=2),2,1)</f>
        <v>1</v>
      </c>
      <c r="AL2" s="4">
        <f>IF(AND($K2=2,$L2=1),2,1)</f>
        <v>1</v>
      </c>
      <c r="AM2" s="4">
        <f>IF(AND($Q2=0,$V2=1),2,1)</f>
        <v>1</v>
      </c>
      <c r="AN2" s="4">
        <f>IF(AND($Q2=0,$V2=2),2,1)</f>
        <v>1</v>
      </c>
      <c r="AO2" s="4">
        <f>IF(AND($Q2=1,$R2=1,$V2=1),2,1)</f>
        <v>1</v>
      </c>
      <c r="AP2" s="4">
        <f>IF(AND($Q2=1,$R2=2,$V2=2),2,1)</f>
        <v>1</v>
      </c>
      <c r="AQ2" s="4">
        <f>IF(AND($Q2=1,$R2=1,$V2=2),2,1)</f>
        <v>2</v>
      </c>
      <c r="AR2" s="4">
        <f>IF(AND($Q2=1,$R2=2,$V2=1),2,1)</f>
        <v>1</v>
      </c>
    </row>
    <row r="3" spans="1:44">
      <c r="A3" s="4">
        <v>0</v>
      </c>
      <c r="B3" s="4">
        <f>transform!A4</f>
        <v>1</v>
      </c>
      <c r="C3" s="4">
        <f>transform!B4</f>
        <v>1</v>
      </c>
      <c r="D3" s="4">
        <f>transform!C4</f>
        <v>3</v>
      </c>
      <c r="E3" s="7">
        <f>transform!D4</f>
        <v>40876</v>
      </c>
      <c r="F3" s="4">
        <f>transform!E4</f>
        <v>1</v>
      </c>
      <c r="G3" s="4">
        <f>transform!F4</f>
        <v>1987</v>
      </c>
      <c r="H3" s="8">
        <f>transform!G4</f>
        <v>2</v>
      </c>
      <c r="I3" s="8">
        <f>transform!H4</f>
        <v>1</v>
      </c>
      <c r="J3" s="4">
        <v>0.285714285714286</v>
      </c>
      <c r="K3" s="4">
        <f>transform!CC4</f>
        <v>1</v>
      </c>
      <c r="L3" s="4">
        <f>transform!CD4</f>
        <v>2</v>
      </c>
      <c r="M3" s="4">
        <f>transform!CE4</f>
        <v>2</v>
      </c>
      <c r="N3" s="4">
        <f>transform!CF4</f>
        <v>2</v>
      </c>
      <c r="O3" s="4">
        <f>transform!CG4</f>
        <v>2</v>
      </c>
      <c r="P3" s="4">
        <f>transform!CH4</f>
        <v>2</v>
      </c>
      <c r="Q3" s="4">
        <f>transform!CI4</f>
        <v>0</v>
      </c>
      <c r="R3" s="4">
        <f>transform!CJ4</f>
        <v>2</v>
      </c>
      <c r="S3" s="4">
        <f t="shared" ref="S3:S32" si="3">IF(Q3=1,IF(R3=1,1,0),0)</f>
        <v>0</v>
      </c>
      <c r="T3" s="4">
        <f t="shared" ref="T3:T32" si="4">IF(Q3=1,IF(R3=2,1,0),0)</f>
        <v>0</v>
      </c>
      <c r="U3" s="4">
        <f t="shared" si="0"/>
        <v>1</v>
      </c>
      <c r="V3" s="4">
        <f>transform!CK4</f>
        <v>2</v>
      </c>
      <c r="W3" s="4">
        <f>transform!CL4</f>
        <v>0</v>
      </c>
      <c r="X3" s="4">
        <f>transform!CM4</f>
        <v>2</v>
      </c>
      <c r="Y3" s="4">
        <f t="shared" ref="Y3:Y32" si="5">IF(W3=1,IF(X3=1,1,0),0)</f>
        <v>0</v>
      </c>
      <c r="Z3" s="4">
        <f t="shared" ref="Z3:Z32" si="6">IF(W3=1,IF(X3=2,1,0),0)</f>
        <v>0</v>
      </c>
      <c r="AA3" s="4">
        <f t="shared" si="1"/>
        <v>1</v>
      </c>
      <c r="AB3" s="4">
        <f>transform!CN4</f>
        <v>1</v>
      </c>
      <c r="AC3" s="4">
        <f>transform!CO4</f>
        <v>0</v>
      </c>
      <c r="AD3" s="4">
        <f>transform!CP4</f>
        <v>2</v>
      </c>
      <c r="AE3" s="4">
        <f t="shared" ref="AE3:AE32" si="7">IF(AC3=1,IF(AD3=1,1,0),0)</f>
        <v>0</v>
      </c>
      <c r="AF3" s="4">
        <f t="shared" ref="AF3:AF32" si="8">IF(AC3=1,IF(AD3=2,1,0),0)</f>
        <v>0</v>
      </c>
      <c r="AG3" s="4">
        <f t="shared" si="2"/>
        <v>1</v>
      </c>
      <c r="AH3" s="4">
        <f>transform!CQ4</f>
        <v>1</v>
      </c>
      <c r="AI3" s="4">
        <f t="shared" ref="AI3:AI32" si="9">IF(AND($K3=1,$L3=1),2,1)</f>
        <v>1</v>
      </c>
      <c r="AJ3" s="4">
        <f t="shared" ref="AJ3:AJ32" si="10">IF(AND($K3=2,$L3=2),2,1)</f>
        <v>1</v>
      </c>
      <c r="AK3" s="4">
        <f t="shared" ref="AK3:AK32" si="11">IF(AND($K3=1,$L3=2),2,1)</f>
        <v>2</v>
      </c>
      <c r="AL3" s="4">
        <f t="shared" ref="AL3:AL32" si="12">IF(AND($K3=2,$L3=1),2,1)</f>
        <v>1</v>
      </c>
      <c r="AM3" s="4">
        <f t="shared" ref="AM3:AM32" si="13">IF(AND($Q3=0,$V3=1),2,1)</f>
        <v>1</v>
      </c>
      <c r="AN3" s="4">
        <f t="shared" ref="AN3:AN32" si="14">IF(AND($Q3=0,$V3=2),2,1)</f>
        <v>2</v>
      </c>
      <c r="AO3" s="4">
        <f t="shared" ref="AO3:AO32" si="15">IF(AND($Q3=1,$R3=1,$V3=1),2,1)</f>
        <v>1</v>
      </c>
      <c r="AP3" s="4">
        <f t="shared" ref="AP3:AP32" si="16">IF(AND($Q3=1,$R3=2,$V3=2),2,1)</f>
        <v>1</v>
      </c>
      <c r="AQ3" s="4">
        <f t="shared" ref="AQ3:AQ32" si="17">IF(AND($Q3=1,$R3=1,$V3=2),2,1)</f>
        <v>1</v>
      </c>
      <c r="AR3" s="4">
        <f t="shared" ref="AR3:AR32" si="18">IF(AND($Q3=1,$R3=2,$V3=1),2,1)</f>
        <v>1</v>
      </c>
    </row>
    <row r="4" spans="1:44">
      <c r="A4" s="4">
        <v>0</v>
      </c>
      <c r="B4" s="4">
        <f>transform!A7</f>
        <v>1</v>
      </c>
      <c r="C4" s="4">
        <f>transform!B7</f>
        <v>1</v>
      </c>
      <c r="D4" s="4">
        <f>transform!C7</f>
        <v>6</v>
      </c>
      <c r="E4" s="7">
        <f>transform!D7</f>
        <v>40876</v>
      </c>
      <c r="F4" s="4">
        <f>transform!E7</f>
        <v>1</v>
      </c>
      <c r="G4" s="4">
        <f>transform!F7</f>
        <v>1984</v>
      </c>
      <c r="H4" s="8">
        <f>transform!G7</f>
        <v>5</v>
      </c>
      <c r="I4" s="8">
        <f>transform!H7</f>
        <v>1</v>
      </c>
      <c r="J4" s="4">
        <v>0.285714285714286</v>
      </c>
      <c r="K4" s="4">
        <f>transform!CC7</f>
        <v>2</v>
      </c>
      <c r="L4" s="4">
        <f>transform!CD7</f>
        <v>2</v>
      </c>
      <c r="M4" s="4">
        <f>transform!CE7</f>
        <v>1</v>
      </c>
      <c r="N4" s="4">
        <f>transform!CF7</f>
        <v>2</v>
      </c>
      <c r="O4" s="4">
        <f>transform!CG7</f>
        <v>1</v>
      </c>
      <c r="P4" s="4">
        <f>transform!CH7</f>
        <v>2</v>
      </c>
      <c r="Q4" s="4">
        <f>transform!CI7</f>
        <v>0</v>
      </c>
      <c r="R4" s="4">
        <f>transform!CJ7</f>
        <v>1</v>
      </c>
      <c r="S4" s="4">
        <f t="shared" si="3"/>
        <v>0</v>
      </c>
      <c r="T4" s="4">
        <f t="shared" si="4"/>
        <v>0</v>
      </c>
      <c r="U4" s="4">
        <f t="shared" si="0"/>
        <v>1</v>
      </c>
      <c r="V4" s="4">
        <f>transform!CK7</f>
        <v>2</v>
      </c>
      <c r="W4" s="4">
        <f>transform!CL7</f>
        <v>1</v>
      </c>
      <c r="X4" s="4">
        <f>transform!CM7</f>
        <v>1</v>
      </c>
      <c r="Y4" s="4">
        <f t="shared" si="5"/>
        <v>1</v>
      </c>
      <c r="Z4" s="4">
        <f t="shared" si="6"/>
        <v>0</v>
      </c>
      <c r="AA4" s="4">
        <f t="shared" si="1"/>
        <v>2</v>
      </c>
      <c r="AB4" s="4">
        <f>transform!CN7</f>
        <v>2</v>
      </c>
      <c r="AC4" s="4">
        <f>transform!CO7</f>
        <v>0</v>
      </c>
      <c r="AD4" s="4">
        <f>transform!CP7</f>
        <v>1</v>
      </c>
      <c r="AE4" s="4">
        <f t="shared" si="7"/>
        <v>0</v>
      </c>
      <c r="AF4" s="4">
        <f t="shared" si="8"/>
        <v>0</v>
      </c>
      <c r="AG4" s="4">
        <f t="shared" si="2"/>
        <v>1</v>
      </c>
      <c r="AH4" s="4">
        <f>transform!CQ7</f>
        <v>2</v>
      </c>
      <c r="AI4" s="4">
        <f t="shared" si="9"/>
        <v>1</v>
      </c>
      <c r="AJ4" s="4">
        <f t="shared" si="10"/>
        <v>2</v>
      </c>
      <c r="AK4" s="4">
        <f t="shared" si="11"/>
        <v>1</v>
      </c>
      <c r="AL4" s="4">
        <f t="shared" si="12"/>
        <v>1</v>
      </c>
      <c r="AM4" s="4">
        <f t="shared" si="13"/>
        <v>1</v>
      </c>
      <c r="AN4" s="4">
        <f t="shared" si="14"/>
        <v>2</v>
      </c>
      <c r="AO4" s="4">
        <f t="shared" si="15"/>
        <v>1</v>
      </c>
      <c r="AP4" s="4">
        <f t="shared" si="16"/>
        <v>1</v>
      </c>
      <c r="AQ4" s="4">
        <f t="shared" si="17"/>
        <v>1</v>
      </c>
      <c r="AR4" s="4">
        <f t="shared" si="18"/>
        <v>1</v>
      </c>
    </row>
    <row r="5" spans="1:44">
      <c r="A5" s="4">
        <v>0</v>
      </c>
      <c r="B5" s="4">
        <f>transform!A17</f>
        <v>3</v>
      </c>
      <c r="C5" s="4">
        <f>transform!B17</f>
        <v>1</v>
      </c>
      <c r="D5" s="4">
        <f>transform!C17</f>
        <v>1</v>
      </c>
      <c r="E5" s="7">
        <f>transform!D17</f>
        <v>40876</v>
      </c>
      <c r="F5" s="8">
        <f>transform!E17</f>
        <v>2</v>
      </c>
      <c r="G5" s="4">
        <f>transform!F17</f>
        <v>1988</v>
      </c>
      <c r="H5" s="8">
        <f>transform!G17</f>
        <v>3</v>
      </c>
      <c r="I5" s="8">
        <f>transform!H17</f>
        <v>1</v>
      </c>
      <c r="J5" s="4">
        <v>0.142857142857143</v>
      </c>
      <c r="K5" s="4">
        <f>transform!CC17</f>
        <v>1</v>
      </c>
      <c r="L5" s="4">
        <f>transform!CD17</f>
        <v>2</v>
      </c>
      <c r="M5" s="4">
        <f>transform!CE17</f>
        <v>2</v>
      </c>
      <c r="N5" s="4">
        <f>transform!CF17</f>
        <v>2</v>
      </c>
      <c r="O5" s="4">
        <f>transform!CG17</f>
        <v>2</v>
      </c>
      <c r="P5" s="4">
        <f>transform!CH17</f>
        <v>2</v>
      </c>
      <c r="Q5" s="4">
        <f>transform!CI17</f>
        <v>0</v>
      </c>
      <c r="R5" s="4">
        <f>transform!CJ17</f>
        <v>2</v>
      </c>
      <c r="S5" s="4">
        <f t="shared" si="3"/>
        <v>0</v>
      </c>
      <c r="T5" s="4">
        <f t="shared" si="4"/>
        <v>0</v>
      </c>
      <c r="U5" s="4">
        <f t="shared" si="0"/>
        <v>1</v>
      </c>
      <c r="V5" s="4">
        <f>transform!CK17</f>
        <v>2</v>
      </c>
      <c r="W5" s="4">
        <f>transform!CL17</f>
        <v>0</v>
      </c>
      <c r="X5" s="4">
        <f>transform!CM17</f>
        <v>2</v>
      </c>
      <c r="Y5" s="4">
        <f t="shared" si="5"/>
        <v>0</v>
      </c>
      <c r="Z5" s="4">
        <f t="shared" si="6"/>
        <v>0</v>
      </c>
      <c r="AA5" s="4">
        <f t="shared" si="1"/>
        <v>1</v>
      </c>
      <c r="AB5" s="4">
        <f>transform!CN17</f>
        <v>2</v>
      </c>
      <c r="AC5" s="4">
        <f>transform!CO17</f>
        <v>1</v>
      </c>
      <c r="AD5" s="4">
        <f>transform!CP17</f>
        <v>1</v>
      </c>
      <c r="AE5" s="4">
        <f t="shared" si="7"/>
        <v>1</v>
      </c>
      <c r="AF5" s="4">
        <f t="shared" si="8"/>
        <v>0</v>
      </c>
      <c r="AG5" s="4">
        <f t="shared" si="2"/>
        <v>2</v>
      </c>
      <c r="AH5" s="4">
        <f>transform!CQ17</f>
        <v>1</v>
      </c>
      <c r="AI5" s="4">
        <f t="shared" si="9"/>
        <v>1</v>
      </c>
      <c r="AJ5" s="4">
        <f t="shared" si="10"/>
        <v>1</v>
      </c>
      <c r="AK5" s="4">
        <f t="shared" si="11"/>
        <v>2</v>
      </c>
      <c r="AL5" s="4">
        <f t="shared" si="12"/>
        <v>1</v>
      </c>
      <c r="AM5" s="4">
        <f t="shared" si="13"/>
        <v>1</v>
      </c>
      <c r="AN5" s="4">
        <f t="shared" si="14"/>
        <v>2</v>
      </c>
      <c r="AO5" s="4">
        <f t="shared" si="15"/>
        <v>1</v>
      </c>
      <c r="AP5" s="4">
        <f t="shared" si="16"/>
        <v>1</v>
      </c>
      <c r="AQ5" s="4">
        <f t="shared" si="17"/>
        <v>1</v>
      </c>
      <c r="AR5" s="4">
        <f t="shared" si="18"/>
        <v>1</v>
      </c>
    </row>
    <row r="6" spans="1:44">
      <c r="A6" s="4">
        <v>0</v>
      </c>
      <c r="B6" s="4">
        <f>transform!A18</f>
        <v>3</v>
      </c>
      <c r="C6" s="4">
        <f>transform!B18</f>
        <v>1</v>
      </c>
      <c r="D6" s="4">
        <f>transform!C18</f>
        <v>2</v>
      </c>
      <c r="E6" s="7">
        <f>transform!D18</f>
        <v>40876</v>
      </c>
      <c r="F6" s="8">
        <f>transform!E18</f>
        <v>2</v>
      </c>
      <c r="G6" s="4">
        <f>transform!F18</f>
        <v>1989</v>
      </c>
      <c r="H6" s="8">
        <f>transform!G18</f>
        <v>3</v>
      </c>
      <c r="I6" s="8">
        <f>transform!H18</f>
        <v>1</v>
      </c>
      <c r="J6" s="4">
        <v>0.142857142857143</v>
      </c>
      <c r="K6" s="4">
        <f>transform!CC18</f>
        <v>1</v>
      </c>
      <c r="L6" s="4">
        <f>transform!CD18</f>
        <v>2</v>
      </c>
      <c r="M6" s="4">
        <f>transform!CE18</f>
        <v>1</v>
      </c>
      <c r="N6" s="4">
        <f>transform!CF18</f>
        <v>2</v>
      </c>
      <c r="O6" s="4">
        <f>transform!CG18</f>
        <v>1</v>
      </c>
      <c r="P6" s="4">
        <f>transform!CH18</f>
        <v>2</v>
      </c>
      <c r="Q6" s="4">
        <f>transform!CI18</f>
        <v>1</v>
      </c>
      <c r="R6" s="4">
        <f>transform!CJ18</f>
        <v>2</v>
      </c>
      <c r="S6" s="4">
        <f t="shared" si="3"/>
        <v>0</v>
      </c>
      <c r="T6" s="4">
        <f t="shared" si="4"/>
        <v>1</v>
      </c>
      <c r="U6" s="4">
        <f t="shared" si="0"/>
        <v>3</v>
      </c>
      <c r="V6" s="4">
        <f>transform!CK18</f>
        <v>2</v>
      </c>
      <c r="W6" s="4">
        <f>transform!CL18</f>
        <v>1</v>
      </c>
      <c r="X6" s="4">
        <f>transform!CM18</f>
        <v>1</v>
      </c>
      <c r="Y6" s="4">
        <f t="shared" si="5"/>
        <v>1</v>
      </c>
      <c r="Z6" s="4">
        <f t="shared" si="6"/>
        <v>0</v>
      </c>
      <c r="AA6" s="4">
        <f t="shared" si="1"/>
        <v>2</v>
      </c>
      <c r="AB6" s="4">
        <f>transform!CN18</f>
        <v>1</v>
      </c>
      <c r="AC6" s="4">
        <f>transform!CO18</f>
        <v>0</v>
      </c>
      <c r="AD6" s="4">
        <f>transform!CP18</f>
        <v>2</v>
      </c>
      <c r="AE6" s="4">
        <f t="shared" si="7"/>
        <v>0</v>
      </c>
      <c r="AF6" s="4">
        <f t="shared" si="8"/>
        <v>0</v>
      </c>
      <c r="AG6" s="4">
        <f t="shared" si="2"/>
        <v>1</v>
      </c>
      <c r="AH6" s="4">
        <f>transform!CQ18</f>
        <v>1</v>
      </c>
      <c r="AI6" s="4">
        <f t="shared" si="9"/>
        <v>1</v>
      </c>
      <c r="AJ6" s="4">
        <f t="shared" si="10"/>
        <v>1</v>
      </c>
      <c r="AK6" s="4">
        <f t="shared" si="11"/>
        <v>2</v>
      </c>
      <c r="AL6" s="4">
        <f t="shared" si="12"/>
        <v>1</v>
      </c>
      <c r="AM6" s="4">
        <f t="shared" si="13"/>
        <v>1</v>
      </c>
      <c r="AN6" s="4">
        <f t="shared" si="14"/>
        <v>1</v>
      </c>
      <c r="AO6" s="4">
        <f t="shared" si="15"/>
        <v>1</v>
      </c>
      <c r="AP6" s="4">
        <f t="shared" si="16"/>
        <v>2</v>
      </c>
      <c r="AQ6" s="4">
        <f t="shared" si="17"/>
        <v>1</v>
      </c>
      <c r="AR6" s="4">
        <f t="shared" si="18"/>
        <v>1</v>
      </c>
    </row>
    <row r="7" spans="1:44">
      <c r="A7" s="4">
        <v>0</v>
      </c>
      <c r="B7" s="4">
        <f>transform!A20</f>
        <v>3</v>
      </c>
      <c r="C7" s="4">
        <f>transform!B20</f>
        <v>1</v>
      </c>
      <c r="D7" s="4">
        <f>transform!C20</f>
        <v>4</v>
      </c>
      <c r="E7" s="7">
        <f>transform!D20</f>
        <v>40876</v>
      </c>
      <c r="F7" s="8">
        <f>transform!E20</f>
        <v>2</v>
      </c>
      <c r="G7" s="4">
        <f>transform!F20</f>
        <v>1990</v>
      </c>
      <c r="H7" s="8">
        <f>transform!G20</f>
        <v>3</v>
      </c>
      <c r="I7" s="8">
        <f>transform!H20</f>
        <v>1</v>
      </c>
      <c r="J7" s="4">
        <v>0.142857142857143</v>
      </c>
      <c r="K7" s="4">
        <f>transform!CC20</f>
        <v>2</v>
      </c>
      <c r="L7" s="4">
        <f>transform!CD20</f>
        <v>1</v>
      </c>
      <c r="M7" s="4">
        <f>transform!CE20</f>
        <v>2</v>
      </c>
      <c r="N7" s="4">
        <f>transform!CF20</f>
        <v>2</v>
      </c>
      <c r="O7" s="4">
        <f>transform!CG20</f>
        <v>1</v>
      </c>
      <c r="P7" s="4">
        <f>transform!CH20</f>
        <v>2</v>
      </c>
      <c r="Q7" s="4">
        <f>transform!CI20</f>
        <v>1</v>
      </c>
      <c r="R7" s="4">
        <f>transform!CJ20</f>
        <v>1</v>
      </c>
      <c r="S7" s="4">
        <f t="shared" si="3"/>
        <v>1</v>
      </c>
      <c r="T7" s="4">
        <f t="shared" si="4"/>
        <v>0</v>
      </c>
      <c r="U7" s="4">
        <f t="shared" si="0"/>
        <v>2</v>
      </c>
      <c r="V7" s="4">
        <f>transform!CK20</f>
        <v>1</v>
      </c>
      <c r="W7" s="4">
        <f>transform!CL20</f>
        <v>1</v>
      </c>
      <c r="X7" s="4">
        <f>transform!CM20</f>
        <v>2</v>
      </c>
      <c r="Y7" s="4">
        <f t="shared" si="5"/>
        <v>0</v>
      </c>
      <c r="Z7" s="4">
        <f t="shared" si="6"/>
        <v>1</v>
      </c>
      <c r="AA7" s="4">
        <f t="shared" si="1"/>
        <v>3</v>
      </c>
      <c r="AB7" s="4">
        <f>transform!CN20</f>
        <v>1</v>
      </c>
      <c r="AC7" s="4">
        <f>transform!CO20</f>
        <v>1</v>
      </c>
      <c r="AD7" s="4">
        <f>transform!CP20</f>
        <v>2</v>
      </c>
      <c r="AE7" s="4">
        <f t="shared" si="7"/>
        <v>0</v>
      </c>
      <c r="AF7" s="4">
        <f t="shared" si="8"/>
        <v>1</v>
      </c>
      <c r="AG7" s="4">
        <f t="shared" si="2"/>
        <v>3</v>
      </c>
      <c r="AH7" s="4">
        <f>transform!CQ20</f>
        <v>2</v>
      </c>
      <c r="AI7" s="4">
        <f t="shared" si="9"/>
        <v>1</v>
      </c>
      <c r="AJ7" s="4">
        <f t="shared" si="10"/>
        <v>1</v>
      </c>
      <c r="AK7" s="4">
        <f t="shared" si="11"/>
        <v>1</v>
      </c>
      <c r="AL7" s="4">
        <f t="shared" si="12"/>
        <v>2</v>
      </c>
      <c r="AM7" s="4">
        <f t="shared" si="13"/>
        <v>1</v>
      </c>
      <c r="AN7" s="4">
        <f t="shared" si="14"/>
        <v>1</v>
      </c>
      <c r="AO7" s="4">
        <f t="shared" si="15"/>
        <v>2</v>
      </c>
      <c r="AP7" s="4">
        <f t="shared" si="16"/>
        <v>1</v>
      </c>
      <c r="AQ7" s="4">
        <f t="shared" si="17"/>
        <v>1</v>
      </c>
      <c r="AR7" s="4">
        <f t="shared" si="18"/>
        <v>1</v>
      </c>
    </row>
    <row r="8" spans="1:44">
      <c r="A8" s="4">
        <v>0</v>
      </c>
      <c r="B8" s="4">
        <f>transform!A54</f>
        <v>2</v>
      </c>
      <c r="C8" s="4">
        <f>transform!B54</f>
        <v>2</v>
      </c>
      <c r="D8" s="4">
        <f>transform!C54</f>
        <v>9</v>
      </c>
      <c r="E8" s="7">
        <f>transform!D54</f>
        <v>40876</v>
      </c>
      <c r="F8" s="4">
        <f>transform!E54</f>
        <v>1</v>
      </c>
      <c r="G8" s="4">
        <f>transform!F54</f>
        <v>1987</v>
      </c>
      <c r="H8" s="8">
        <f>transform!G54</f>
        <v>4</v>
      </c>
      <c r="I8" s="8">
        <f>transform!H54</f>
        <v>1</v>
      </c>
      <c r="J8" s="4">
        <v>0.142857142857143</v>
      </c>
      <c r="K8" s="4">
        <f>transform!CC54</f>
        <v>1</v>
      </c>
      <c r="L8" s="4">
        <f>transform!CD54</f>
        <v>2</v>
      </c>
      <c r="M8" s="4">
        <f>transform!CE54</f>
        <v>1</v>
      </c>
      <c r="N8" s="4">
        <f>transform!CF54</f>
        <v>2</v>
      </c>
      <c r="O8" s="4">
        <f>transform!CG54</f>
        <v>1</v>
      </c>
      <c r="P8" s="4">
        <f>transform!CH54</f>
        <v>2</v>
      </c>
      <c r="Q8" s="4">
        <f>transform!CI54</f>
        <v>0</v>
      </c>
      <c r="R8" s="4">
        <f>transform!CJ54</f>
        <v>1</v>
      </c>
      <c r="S8" s="4">
        <f t="shared" si="3"/>
        <v>0</v>
      </c>
      <c r="T8" s="4">
        <f t="shared" si="4"/>
        <v>0</v>
      </c>
      <c r="U8" s="4">
        <f t="shared" si="0"/>
        <v>1</v>
      </c>
      <c r="V8" s="4">
        <f>transform!CK54</f>
        <v>2</v>
      </c>
      <c r="W8" s="4">
        <f>transform!CL54</f>
        <v>0</v>
      </c>
      <c r="X8" s="4">
        <f>transform!CM54</f>
        <v>1</v>
      </c>
      <c r="Y8" s="4">
        <f t="shared" si="5"/>
        <v>0</v>
      </c>
      <c r="Z8" s="4">
        <f t="shared" si="6"/>
        <v>0</v>
      </c>
      <c r="AA8" s="4">
        <f t="shared" si="1"/>
        <v>1</v>
      </c>
      <c r="AB8" s="4">
        <f>transform!CN54</f>
        <v>2</v>
      </c>
      <c r="AC8" s="4">
        <f>transform!CO54</f>
        <v>0</v>
      </c>
      <c r="AD8" s="4">
        <f>transform!CP54</f>
        <v>1</v>
      </c>
      <c r="AE8" s="4">
        <f t="shared" si="7"/>
        <v>0</v>
      </c>
      <c r="AF8" s="4">
        <f t="shared" si="8"/>
        <v>0</v>
      </c>
      <c r="AG8" s="4">
        <f t="shared" si="2"/>
        <v>1</v>
      </c>
      <c r="AH8" s="4">
        <f>transform!CQ54</f>
        <v>2</v>
      </c>
      <c r="AI8" s="4">
        <f t="shared" si="9"/>
        <v>1</v>
      </c>
      <c r="AJ8" s="4">
        <f t="shared" si="10"/>
        <v>1</v>
      </c>
      <c r="AK8" s="4">
        <f t="shared" si="11"/>
        <v>2</v>
      </c>
      <c r="AL8" s="4">
        <f t="shared" si="12"/>
        <v>1</v>
      </c>
      <c r="AM8" s="4">
        <f t="shared" si="13"/>
        <v>1</v>
      </c>
      <c r="AN8" s="4">
        <f t="shared" si="14"/>
        <v>2</v>
      </c>
      <c r="AO8" s="4">
        <f t="shared" si="15"/>
        <v>1</v>
      </c>
      <c r="AP8" s="4">
        <f t="shared" si="16"/>
        <v>1</v>
      </c>
      <c r="AQ8" s="4">
        <f t="shared" si="17"/>
        <v>1</v>
      </c>
      <c r="AR8" s="4">
        <f t="shared" si="18"/>
        <v>1</v>
      </c>
    </row>
    <row r="9" spans="1:44">
      <c r="A9" s="4">
        <v>0</v>
      </c>
      <c r="B9" s="4">
        <f>transform!A58</f>
        <v>3</v>
      </c>
      <c r="C9" s="4">
        <f>transform!B58</f>
        <v>2</v>
      </c>
      <c r="D9" s="4">
        <f>transform!C58</f>
        <v>4</v>
      </c>
      <c r="E9" s="7">
        <f>transform!D58</f>
        <v>40876</v>
      </c>
      <c r="F9" s="4">
        <f>transform!E58</f>
        <v>1</v>
      </c>
      <c r="G9" s="4">
        <f>transform!F58</f>
        <v>1992</v>
      </c>
      <c r="H9" s="8">
        <f>transform!G58</f>
        <v>3</v>
      </c>
      <c r="I9" s="8">
        <f>transform!H58</f>
        <v>1</v>
      </c>
      <c r="J9" s="4">
        <v>0.142857142857143</v>
      </c>
      <c r="K9" s="4">
        <f>transform!CC58</f>
        <v>2</v>
      </c>
      <c r="L9" s="4">
        <f>transform!CD58</f>
        <v>2</v>
      </c>
      <c r="M9" s="4">
        <f>transform!CE58</f>
        <v>2</v>
      </c>
      <c r="N9" s="4">
        <f>transform!CF58</f>
        <v>2</v>
      </c>
      <c r="O9" s="4">
        <f>transform!CG58</f>
        <v>2</v>
      </c>
      <c r="P9" s="4">
        <f>transform!CH58</f>
        <v>1</v>
      </c>
      <c r="Q9" s="4">
        <f>transform!CI58</f>
        <v>0</v>
      </c>
      <c r="R9" s="4">
        <f>transform!CJ58</f>
        <v>2</v>
      </c>
      <c r="S9" s="4">
        <f t="shared" si="3"/>
        <v>0</v>
      </c>
      <c r="T9" s="4">
        <f t="shared" si="4"/>
        <v>0</v>
      </c>
      <c r="U9" s="4">
        <f t="shared" si="0"/>
        <v>1</v>
      </c>
      <c r="V9" s="4">
        <f>transform!CK58</f>
        <v>2</v>
      </c>
      <c r="W9" s="4">
        <f>transform!CL58</f>
        <v>0</v>
      </c>
      <c r="X9" s="4">
        <f>transform!CM58</f>
        <v>2</v>
      </c>
      <c r="Y9" s="4">
        <f t="shared" si="5"/>
        <v>0</v>
      </c>
      <c r="Z9" s="4">
        <f t="shared" si="6"/>
        <v>0</v>
      </c>
      <c r="AA9" s="4">
        <f t="shared" si="1"/>
        <v>1</v>
      </c>
      <c r="AB9" s="4">
        <f>transform!CN58</f>
        <v>2</v>
      </c>
      <c r="AC9" s="4">
        <f>transform!CO58</f>
        <v>0</v>
      </c>
      <c r="AD9" s="4">
        <f>transform!CP58</f>
        <v>2</v>
      </c>
      <c r="AE9" s="4">
        <f t="shared" si="7"/>
        <v>0</v>
      </c>
      <c r="AF9" s="4">
        <f t="shared" si="8"/>
        <v>0</v>
      </c>
      <c r="AG9" s="4">
        <f t="shared" si="2"/>
        <v>1</v>
      </c>
      <c r="AH9" s="4">
        <f>transform!CQ58</f>
        <v>2</v>
      </c>
      <c r="AI9" s="4">
        <f t="shared" si="9"/>
        <v>1</v>
      </c>
      <c r="AJ9" s="4">
        <f t="shared" si="10"/>
        <v>2</v>
      </c>
      <c r="AK9" s="4">
        <f t="shared" si="11"/>
        <v>1</v>
      </c>
      <c r="AL9" s="4">
        <f t="shared" si="12"/>
        <v>1</v>
      </c>
      <c r="AM9" s="4">
        <f t="shared" si="13"/>
        <v>1</v>
      </c>
      <c r="AN9" s="4">
        <f t="shared" si="14"/>
        <v>2</v>
      </c>
      <c r="AO9" s="4">
        <f t="shared" si="15"/>
        <v>1</v>
      </c>
      <c r="AP9" s="4">
        <f t="shared" si="16"/>
        <v>1</v>
      </c>
      <c r="AQ9" s="4">
        <f t="shared" si="17"/>
        <v>1</v>
      </c>
      <c r="AR9" s="4">
        <f t="shared" si="18"/>
        <v>1</v>
      </c>
    </row>
    <row r="10" spans="1:44">
      <c r="A10" s="4">
        <v>0</v>
      </c>
      <c r="B10" s="4">
        <f>transform!A5</f>
        <v>1</v>
      </c>
      <c r="C10" s="4">
        <f>transform!B5</f>
        <v>1</v>
      </c>
      <c r="D10" s="4">
        <f>transform!C5</f>
        <v>4</v>
      </c>
      <c r="E10" s="7">
        <f>transform!D5</f>
        <v>40876</v>
      </c>
      <c r="F10" s="4">
        <f>transform!E5</f>
        <v>1</v>
      </c>
      <c r="G10" s="4">
        <f>transform!F5</f>
        <v>1986</v>
      </c>
      <c r="H10" s="8">
        <f>transform!G5</f>
        <v>4</v>
      </c>
      <c r="I10" s="4">
        <f>transform!H5</f>
        <v>2</v>
      </c>
      <c r="J10" s="4">
        <v>0</v>
      </c>
      <c r="K10" s="4">
        <f>transform!CC5</f>
        <v>1</v>
      </c>
      <c r="L10" s="4">
        <f>transform!CD5</f>
        <v>1</v>
      </c>
      <c r="M10" s="4">
        <f>transform!CE5</f>
        <v>1</v>
      </c>
      <c r="N10" s="4">
        <f>transform!CF5</f>
        <v>2</v>
      </c>
      <c r="O10" s="4">
        <f>transform!CG5</f>
        <v>1</v>
      </c>
      <c r="P10" s="4">
        <f>transform!CH5</f>
        <v>2</v>
      </c>
      <c r="Q10" s="4">
        <f>transform!CI5</f>
        <v>1</v>
      </c>
      <c r="R10" s="4">
        <f>transform!CJ5</f>
        <v>1</v>
      </c>
      <c r="S10" s="4">
        <f t="shared" si="3"/>
        <v>1</v>
      </c>
      <c r="T10" s="4">
        <f t="shared" si="4"/>
        <v>0</v>
      </c>
      <c r="U10" s="4">
        <f t="shared" si="0"/>
        <v>2</v>
      </c>
      <c r="V10" s="4">
        <f>transform!CK5</f>
        <v>1</v>
      </c>
      <c r="W10" s="4">
        <f>transform!CL5</f>
        <v>1</v>
      </c>
      <c r="X10" s="4">
        <f>transform!CM5</f>
        <v>2</v>
      </c>
      <c r="Y10" s="4">
        <f t="shared" si="5"/>
        <v>0</v>
      </c>
      <c r="Z10" s="4">
        <f t="shared" si="6"/>
        <v>1</v>
      </c>
      <c r="AA10" s="4">
        <f t="shared" si="1"/>
        <v>3</v>
      </c>
      <c r="AB10" s="4">
        <f>transform!CN5</f>
        <v>1</v>
      </c>
      <c r="AC10" s="4">
        <f>transform!CO5</f>
        <v>1</v>
      </c>
      <c r="AD10" s="4">
        <f>transform!CP5</f>
        <v>1</v>
      </c>
      <c r="AE10" s="4">
        <f t="shared" si="7"/>
        <v>1</v>
      </c>
      <c r="AF10" s="4">
        <f t="shared" si="8"/>
        <v>0</v>
      </c>
      <c r="AG10" s="4">
        <f t="shared" si="2"/>
        <v>2</v>
      </c>
      <c r="AH10" s="4">
        <f>transform!CQ5</f>
        <v>2</v>
      </c>
      <c r="AI10" s="4">
        <f t="shared" si="9"/>
        <v>2</v>
      </c>
      <c r="AJ10" s="4">
        <f t="shared" si="10"/>
        <v>1</v>
      </c>
      <c r="AK10" s="4">
        <f t="shared" si="11"/>
        <v>1</v>
      </c>
      <c r="AL10" s="4">
        <f t="shared" si="12"/>
        <v>1</v>
      </c>
      <c r="AM10" s="4">
        <f t="shared" si="13"/>
        <v>1</v>
      </c>
      <c r="AN10" s="4">
        <f t="shared" si="14"/>
        <v>1</v>
      </c>
      <c r="AO10" s="4">
        <f t="shared" si="15"/>
        <v>2</v>
      </c>
      <c r="AP10" s="4">
        <f t="shared" si="16"/>
        <v>1</v>
      </c>
      <c r="AQ10" s="4">
        <f t="shared" si="17"/>
        <v>1</v>
      </c>
      <c r="AR10" s="4">
        <f t="shared" si="18"/>
        <v>1</v>
      </c>
    </row>
    <row r="11" spans="1:44">
      <c r="A11" s="4">
        <v>0</v>
      </c>
      <c r="B11" s="4">
        <f>transform!A8</f>
        <v>1</v>
      </c>
      <c r="C11" s="4">
        <f>transform!B8</f>
        <v>1</v>
      </c>
      <c r="D11" s="4">
        <f>transform!C8</f>
        <v>8</v>
      </c>
      <c r="E11" s="7">
        <f>transform!D8</f>
        <v>40876</v>
      </c>
      <c r="F11" s="4">
        <f>transform!E8</f>
        <v>1</v>
      </c>
      <c r="G11" s="4">
        <f>transform!F8</f>
        <v>1989</v>
      </c>
      <c r="H11" s="8">
        <f>transform!G8</f>
        <v>4</v>
      </c>
      <c r="I11" s="8">
        <f>transform!H8</f>
        <v>1</v>
      </c>
      <c r="J11" s="4">
        <v>0</v>
      </c>
      <c r="K11" s="4">
        <f>transform!CC8</f>
        <v>1</v>
      </c>
      <c r="L11" s="4">
        <f>transform!CD8</f>
        <v>1</v>
      </c>
      <c r="M11" s="4">
        <f>transform!CE8</f>
        <v>1</v>
      </c>
      <c r="N11" s="4">
        <f>transform!CF8</f>
        <v>2</v>
      </c>
      <c r="O11" s="4">
        <f>transform!CG8</f>
        <v>1</v>
      </c>
      <c r="P11" s="4">
        <f>transform!CH8</f>
        <v>2</v>
      </c>
      <c r="Q11" s="4">
        <f>transform!CI8</f>
        <v>1</v>
      </c>
      <c r="R11" s="4">
        <f>transform!CJ8</f>
        <v>1</v>
      </c>
      <c r="S11" s="4">
        <f t="shared" si="3"/>
        <v>1</v>
      </c>
      <c r="T11" s="4">
        <f t="shared" si="4"/>
        <v>0</v>
      </c>
      <c r="U11" s="4">
        <f t="shared" si="0"/>
        <v>2</v>
      </c>
      <c r="V11" s="4">
        <f>transform!CK8</f>
        <v>2</v>
      </c>
      <c r="W11" s="4">
        <f>transform!CL8</f>
        <v>1</v>
      </c>
      <c r="X11" s="4">
        <f>transform!CM8</f>
        <v>1</v>
      </c>
      <c r="Y11" s="4">
        <f t="shared" si="5"/>
        <v>1</v>
      </c>
      <c r="Z11" s="4">
        <f t="shared" si="6"/>
        <v>0</v>
      </c>
      <c r="AA11" s="4">
        <f t="shared" si="1"/>
        <v>2</v>
      </c>
      <c r="AB11" s="4">
        <f>transform!CN8</f>
        <v>2</v>
      </c>
      <c r="AC11" s="4">
        <f>transform!CO8</f>
        <v>0</v>
      </c>
      <c r="AD11" s="4">
        <f>transform!CP8</f>
        <v>1</v>
      </c>
      <c r="AE11" s="4">
        <f t="shared" si="7"/>
        <v>0</v>
      </c>
      <c r="AF11" s="4">
        <f t="shared" si="8"/>
        <v>0</v>
      </c>
      <c r="AG11" s="4">
        <f t="shared" si="2"/>
        <v>1</v>
      </c>
      <c r="AH11" s="4">
        <f>transform!CQ8</f>
        <v>2</v>
      </c>
      <c r="AI11" s="4">
        <f t="shared" si="9"/>
        <v>2</v>
      </c>
      <c r="AJ11" s="4">
        <f t="shared" si="10"/>
        <v>1</v>
      </c>
      <c r="AK11" s="4">
        <f t="shared" si="11"/>
        <v>1</v>
      </c>
      <c r="AL11" s="4">
        <f t="shared" si="12"/>
        <v>1</v>
      </c>
      <c r="AM11" s="4">
        <f t="shared" si="13"/>
        <v>1</v>
      </c>
      <c r="AN11" s="4">
        <f t="shared" si="14"/>
        <v>1</v>
      </c>
      <c r="AO11" s="4">
        <f t="shared" si="15"/>
        <v>1</v>
      </c>
      <c r="AP11" s="4">
        <f t="shared" si="16"/>
        <v>1</v>
      </c>
      <c r="AQ11" s="4">
        <f t="shared" si="17"/>
        <v>2</v>
      </c>
      <c r="AR11" s="4">
        <f t="shared" si="18"/>
        <v>1</v>
      </c>
    </row>
    <row r="12" spans="1:44">
      <c r="A12" s="4">
        <v>0</v>
      </c>
      <c r="B12" s="4">
        <f>transform!A9</f>
        <v>1</v>
      </c>
      <c r="C12" s="4">
        <f>transform!B9</f>
        <v>1</v>
      </c>
      <c r="D12" s="4">
        <f>transform!C9</f>
        <v>9</v>
      </c>
      <c r="E12" s="7">
        <f>transform!D9</f>
        <v>40876</v>
      </c>
      <c r="F12" s="4">
        <f>transform!E9</f>
        <v>1</v>
      </c>
      <c r="G12" s="4">
        <f>transform!F9</f>
        <v>1989</v>
      </c>
      <c r="H12" s="8">
        <f>transform!G9</f>
        <v>2</v>
      </c>
      <c r="I12" s="8">
        <f>transform!H9</f>
        <v>1</v>
      </c>
      <c r="J12" s="4">
        <v>0</v>
      </c>
      <c r="K12" s="4">
        <f>transform!CC9</f>
        <v>2</v>
      </c>
      <c r="L12" s="4">
        <f>transform!CD9</f>
        <v>2</v>
      </c>
      <c r="M12" s="4">
        <f>transform!CE9</f>
        <v>2</v>
      </c>
      <c r="N12" s="4">
        <f>transform!CF9</f>
        <v>2</v>
      </c>
      <c r="O12" s="4">
        <f>transform!CG9</f>
        <v>2</v>
      </c>
      <c r="P12" s="4">
        <f>transform!CH9</f>
        <v>2</v>
      </c>
      <c r="Q12" s="4">
        <f>transform!CI9</f>
        <v>1</v>
      </c>
      <c r="R12" s="4">
        <f>transform!CJ9</f>
        <v>1</v>
      </c>
      <c r="S12" s="4">
        <f t="shared" si="3"/>
        <v>1</v>
      </c>
      <c r="T12" s="4">
        <f t="shared" si="4"/>
        <v>0</v>
      </c>
      <c r="U12" s="4">
        <f t="shared" si="0"/>
        <v>2</v>
      </c>
      <c r="V12" s="4">
        <f>transform!CK9</f>
        <v>2</v>
      </c>
      <c r="W12" s="4">
        <f>transform!CL9</f>
        <v>1</v>
      </c>
      <c r="X12" s="4">
        <f>transform!CM9</f>
        <v>1</v>
      </c>
      <c r="Y12" s="4">
        <f t="shared" si="5"/>
        <v>1</v>
      </c>
      <c r="Z12" s="4">
        <f t="shared" si="6"/>
        <v>0</v>
      </c>
      <c r="AA12" s="4">
        <f t="shared" si="1"/>
        <v>2</v>
      </c>
      <c r="AB12" s="4">
        <f>transform!CN9</f>
        <v>2</v>
      </c>
      <c r="AC12" s="4">
        <f>transform!CO9</f>
        <v>0</v>
      </c>
      <c r="AD12" s="4">
        <f>transform!CP9</f>
        <v>2</v>
      </c>
      <c r="AE12" s="4">
        <f t="shared" si="7"/>
        <v>0</v>
      </c>
      <c r="AF12" s="4">
        <f t="shared" si="8"/>
        <v>0</v>
      </c>
      <c r="AG12" s="4">
        <f t="shared" si="2"/>
        <v>1</v>
      </c>
      <c r="AH12" s="4">
        <f>transform!CQ9</f>
        <v>2</v>
      </c>
      <c r="AI12" s="4">
        <f t="shared" si="9"/>
        <v>1</v>
      </c>
      <c r="AJ12" s="4">
        <f t="shared" si="10"/>
        <v>2</v>
      </c>
      <c r="AK12" s="4">
        <f t="shared" si="11"/>
        <v>1</v>
      </c>
      <c r="AL12" s="4">
        <f t="shared" si="12"/>
        <v>1</v>
      </c>
      <c r="AM12" s="4">
        <f t="shared" si="13"/>
        <v>1</v>
      </c>
      <c r="AN12" s="4">
        <f t="shared" si="14"/>
        <v>1</v>
      </c>
      <c r="AO12" s="4">
        <f t="shared" si="15"/>
        <v>1</v>
      </c>
      <c r="AP12" s="4">
        <f t="shared" si="16"/>
        <v>1</v>
      </c>
      <c r="AQ12" s="4">
        <f t="shared" si="17"/>
        <v>2</v>
      </c>
      <c r="AR12" s="4">
        <f t="shared" si="18"/>
        <v>1</v>
      </c>
    </row>
    <row r="13" spans="1:44">
      <c r="A13" s="4">
        <v>0</v>
      </c>
      <c r="B13" s="4">
        <f>transform!A14</f>
        <v>2</v>
      </c>
      <c r="C13" s="4">
        <f>transform!B14</f>
        <v>1</v>
      </c>
      <c r="D13" s="4">
        <f>transform!C14</f>
        <v>6</v>
      </c>
      <c r="E13" s="7">
        <f>transform!D14</f>
        <v>40883</v>
      </c>
      <c r="F13" s="4">
        <f>transform!E14</f>
        <v>1</v>
      </c>
      <c r="G13" s="4">
        <f>transform!F14</f>
        <v>1987</v>
      </c>
      <c r="H13" s="8">
        <f>transform!G14</f>
        <v>4</v>
      </c>
      <c r="I13" s="4">
        <f>transform!H14</f>
        <v>2</v>
      </c>
      <c r="J13" s="4">
        <v>0</v>
      </c>
      <c r="K13" s="4">
        <f>transform!CC14</f>
        <v>1</v>
      </c>
      <c r="L13" s="4">
        <f>transform!CD14</f>
        <v>1</v>
      </c>
      <c r="M13" s="4">
        <f>transform!CE14</f>
        <v>1</v>
      </c>
      <c r="N13" s="4">
        <f>transform!CF14</f>
        <v>1</v>
      </c>
      <c r="O13" s="4">
        <f>transform!CG14</f>
        <v>1</v>
      </c>
      <c r="P13" s="4">
        <f>transform!CH14</f>
        <v>1</v>
      </c>
      <c r="Q13" s="4">
        <f>transform!CI14</f>
        <v>1</v>
      </c>
      <c r="R13" s="4">
        <f>transform!CJ14</f>
        <v>1</v>
      </c>
      <c r="S13" s="4">
        <f t="shared" si="3"/>
        <v>1</v>
      </c>
      <c r="T13" s="4">
        <f t="shared" si="4"/>
        <v>0</v>
      </c>
      <c r="U13" s="4">
        <f t="shared" si="0"/>
        <v>2</v>
      </c>
      <c r="V13" s="4">
        <f>transform!CK14</f>
        <v>1</v>
      </c>
      <c r="W13" s="4">
        <f>transform!CL14</f>
        <v>1</v>
      </c>
      <c r="X13" s="4">
        <f>transform!CM14</f>
        <v>1</v>
      </c>
      <c r="Y13" s="4">
        <f t="shared" si="5"/>
        <v>1</v>
      </c>
      <c r="Z13" s="4">
        <f t="shared" si="6"/>
        <v>0</v>
      </c>
      <c r="AA13" s="4">
        <f t="shared" si="1"/>
        <v>2</v>
      </c>
      <c r="AB13" s="4">
        <f>transform!CN14</f>
        <v>1</v>
      </c>
      <c r="AC13" s="4">
        <f>transform!CO14</f>
        <v>1</v>
      </c>
      <c r="AD13" s="4">
        <f>transform!CP14</f>
        <v>1</v>
      </c>
      <c r="AE13" s="4">
        <f t="shared" si="7"/>
        <v>1</v>
      </c>
      <c r="AF13" s="4">
        <f t="shared" si="8"/>
        <v>0</v>
      </c>
      <c r="AG13" s="4">
        <f t="shared" si="2"/>
        <v>2</v>
      </c>
      <c r="AH13" s="4">
        <f>transform!CQ14</f>
        <v>1</v>
      </c>
      <c r="AI13" s="4">
        <f t="shared" si="9"/>
        <v>2</v>
      </c>
      <c r="AJ13" s="4">
        <f t="shared" si="10"/>
        <v>1</v>
      </c>
      <c r="AK13" s="4">
        <f t="shared" si="11"/>
        <v>1</v>
      </c>
      <c r="AL13" s="4">
        <f t="shared" si="12"/>
        <v>1</v>
      </c>
      <c r="AM13" s="4">
        <f t="shared" si="13"/>
        <v>1</v>
      </c>
      <c r="AN13" s="4">
        <f t="shared" si="14"/>
        <v>1</v>
      </c>
      <c r="AO13" s="4">
        <f t="shared" si="15"/>
        <v>2</v>
      </c>
      <c r="AP13" s="4">
        <f t="shared" si="16"/>
        <v>1</v>
      </c>
      <c r="AQ13" s="4">
        <f t="shared" si="17"/>
        <v>1</v>
      </c>
      <c r="AR13" s="4">
        <f t="shared" si="18"/>
        <v>1</v>
      </c>
    </row>
    <row r="14" spans="1:44">
      <c r="A14" s="4">
        <v>0</v>
      </c>
      <c r="B14" s="4">
        <f>transform!A15</f>
        <v>2</v>
      </c>
      <c r="C14" s="4">
        <f>transform!B15</f>
        <v>1</v>
      </c>
      <c r="D14" s="4">
        <f>transform!C15</f>
        <v>7</v>
      </c>
      <c r="E14" s="7">
        <f>transform!D15</f>
        <v>40876</v>
      </c>
      <c r="F14" s="4">
        <f>transform!E15</f>
        <v>1</v>
      </c>
      <c r="G14" s="4">
        <f>transform!F15</f>
        <v>1986</v>
      </c>
      <c r="H14" s="8">
        <f>transform!G15</f>
        <v>4</v>
      </c>
      <c r="I14" s="8">
        <f>transform!H15</f>
        <v>1</v>
      </c>
      <c r="J14" s="4">
        <v>0</v>
      </c>
      <c r="K14" s="4">
        <f>transform!CC15</f>
        <v>2</v>
      </c>
      <c r="L14" s="4">
        <f>transform!CD15</f>
        <v>2</v>
      </c>
      <c r="M14" s="4">
        <f>transform!CE15</f>
        <v>1</v>
      </c>
      <c r="N14" s="4">
        <f>transform!CF15</f>
        <v>2</v>
      </c>
      <c r="O14" s="4">
        <f>transform!CG15</f>
        <v>1</v>
      </c>
      <c r="P14" s="4">
        <f>transform!CH15</f>
        <v>2</v>
      </c>
      <c r="Q14" s="4">
        <f>transform!CI15</f>
        <v>0</v>
      </c>
      <c r="R14" s="4">
        <f>transform!CJ15</f>
        <v>2</v>
      </c>
      <c r="S14" s="4">
        <f t="shared" si="3"/>
        <v>0</v>
      </c>
      <c r="T14" s="4">
        <f t="shared" si="4"/>
        <v>0</v>
      </c>
      <c r="U14" s="4">
        <f t="shared" si="0"/>
        <v>1</v>
      </c>
      <c r="V14" s="4">
        <f>transform!CK15</f>
        <v>2</v>
      </c>
      <c r="W14" s="4">
        <f>transform!CL15</f>
        <v>0</v>
      </c>
      <c r="X14" s="4">
        <f>transform!CM15</f>
        <v>2</v>
      </c>
      <c r="Y14" s="4">
        <f t="shared" si="5"/>
        <v>0</v>
      </c>
      <c r="Z14" s="4">
        <f t="shared" si="6"/>
        <v>0</v>
      </c>
      <c r="AA14" s="4">
        <f t="shared" si="1"/>
        <v>1</v>
      </c>
      <c r="AB14" s="4">
        <f>transform!CN15</f>
        <v>2</v>
      </c>
      <c r="AC14" s="4">
        <f>transform!CO15</f>
        <v>0</v>
      </c>
      <c r="AD14" s="4">
        <f>transform!CP15</f>
        <v>2</v>
      </c>
      <c r="AE14" s="4">
        <f t="shared" si="7"/>
        <v>0</v>
      </c>
      <c r="AF14" s="4">
        <f t="shared" si="8"/>
        <v>0</v>
      </c>
      <c r="AG14" s="4">
        <f t="shared" si="2"/>
        <v>1</v>
      </c>
      <c r="AH14" s="4">
        <f>transform!CQ15</f>
        <v>2</v>
      </c>
      <c r="AI14" s="4">
        <f t="shared" si="9"/>
        <v>1</v>
      </c>
      <c r="AJ14" s="4">
        <f t="shared" si="10"/>
        <v>2</v>
      </c>
      <c r="AK14" s="4">
        <f t="shared" si="11"/>
        <v>1</v>
      </c>
      <c r="AL14" s="4">
        <f t="shared" si="12"/>
        <v>1</v>
      </c>
      <c r="AM14" s="4">
        <f t="shared" si="13"/>
        <v>1</v>
      </c>
      <c r="AN14" s="4">
        <f t="shared" si="14"/>
        <v>2</v>
      </c>
      <c r="AO14" s="4">
        <f t="shared" si="15"/>
        <v>1</v>
      </c>
      <c r="AP14" s="4">
        <f t="shared" si="16"/>
        <v>1</v>
      </c>
      <c r="AQ14" s="4">
        <f t="shared" si="17"/>
        <v>1</v>
      </c>
      <c r="AR14" s="4">
        <f t="shared" si="18"/>
        <v>1</v>
      </c>
    </row>
    <row r="15" spans="1:44">
      <c r="A15" s="4">
        <v>0</v>
      </c>
      <c r="B15" s="4">
        <f>transform!A33</f>
        <v>5</v>
      </c>
      <c r="C15" s="4">
        <f>transform!B33</f>
        <v>1</v>
      </c>
      <c r="D15" s="4">
        <f>transform!C33</f>
        <v>2</v>
      </c>
      <c r="E15" s="7">
        <f>transform!D33</f>
        <v>40876</v>
      </c>
      <c r="F15" s="8">
        <f>transform!E33</f>
        <v>2</v>
      </c>
      <c r="G15" s="4">
        <f>transform!F33</f>
        <v>1989</v>
      </c>
      <c r="H15" s="8">
        <f>transform!G33</f>
        <v>4</v>
      </c>
      <c r="I15" s="8">
        <f>transform!H33</f>
        <v>1</v>
      </c>
      <c r="J15" s="4">
        <v>0</v>
      </c>
      <c r="K15" s="4">
        <f>transform!CC33</f>
        <v>2</v>
      </c>
      <c r="L15" s="4">
        <f>transform!CD33</f>
        <v>2</v>
      </c>
      <c r="M15" s="4">
        <f>transform!CE33</f>
        <v>1</v>
      </c>
      <c r="N15" s="4">
        <f>transform!CF33</f>
        <v>2</v>
      </c>
      <c r="O15" s="4">
        <f>transform!CG33</f>
        <v>2</v>
      </c>
      <c r="P15" s="4">
        <f>transform!CH33</f>
        <v>1</v>
      </c>
      <c r="Q15" s="4">
        <f>transform!CI33</f>
        <v>1</v>
      </c>
      <c r="R15" s="4">
        <f>transform!CJ33</f>
        <v>1</v>
      </c>
      <c r="S15" s="4">
        <f t="shared" si="3"/>
        <v>1</v>
      </c>
      <c r="T15" s="4">
        <f t="shared" si="4"/>
        <v>0</v>
      </c>
      <c r="U15" s="4">
        <f t="shared" si="0"/>
        <v>2</v>
      </c>
      <c r="V15" s="4">
        <f>transform!CK33</f>
        <v>1</v>
      </c>
      <c r="W15" s="4">
        <f>transform!CL33</f>
        <v>1</v>
      </c>
      <c r="X15" s="4">
        <f>transform!CM33</f>
        <v>2</v>
      </c>
      <c r="Y15" s="4">
        <f t="shared" si="5"/>
        <v>0</v>
      </c>
      <c r="Z15" s="4">
        <f t="shared" si="6"/>
        <v>1</v>
      </c>
      <c r="AA15" s="4">
        <f t="shared" si="1"/>
        <v>3</v>
      </c>
      <c r="AB15" s="4">
        <f>transform!CN33</f>
        <v>2</v>
      </c>
      <c r="AC15" s="4">
        <f>transform!CO33</f>
        <v>0</v>
      </c>
      <c r="AD15" s="4">
        <f>transform!CP33</f>
        <v>1</v>
      </c>
      <c r="AE15" s="4">
        <f t="shared" si="7"/>
        <v>0</v>
      </c>
      <c r="AF15" s="4">
        <f t="shared" si="8"/>
        <v>0</v>
      </c>
      <c r="AG15" s="4">
        <f t="shared" si="2"/>
        <v>1</v>
      </c>
      <c r="AH15" s="4">
        <f>transform!CQ33</f>
        <v>2</v>
      </c>
      <c r="AI15" s="4">
        <f t="shared" si="9"/>
        <v>1</v>
      </c>
      <c r="AJ15" s="4">
        <f t="shared" si="10"/>
        <v>2</v>
      </c>
      <c r="AK15" s="4">
        <f t="shared" si="11"/>
        <v>1</v>
      </c>
      <c r="AL15" s="4">
        <f t="shared" si="12"/>
        <v>1</v>
      </c>
      <c r="AM15" s="4">
        <f t="shared" si="13"/>
        <v>1</v>
      </c>
      <c r="AN15" s="4">
        <f t="shared" si="14"/>
        <v>1</v>
      </c>
      <c r="AO15" s="4">
        <f t="shared" si="15"/>
        <v>2</v>
      </c>
      <c r="AP15" s="4">
        <f t="shared" si="16"/>
        <v>1</v>
      </c>
      <c r="AQ15" s="4">
        <f t="shared" si="17"/>
        <v>1</v>
      </c>
      <c r="AR15" s="4">
        <f t="shared" si="18"/>
        <v>1</v>
      </c>
    </row>
    <row r="16" spans="1:44">
      <c r="A16" s="4">
        <v>0</v>
      </c>
      <c r="B16" s="4">
        <f>transform!A35</f>
        <v>5</v>
      </c>
      <c r="C16" s="4">
        <f>transform!B35</f>
        <v>1</v>
      </c>
      <c r="D16" s="4">
        <f>transform!C35</f>
        <v>4</v>
      </c>
      <c r="E16" s="7">
        <f>transform!D35</f>
        <v>40876</v>
      </c>
      <c r="F16" s="8">
        <f>transform!E35</f>
        <v>2</v>
      </c>
      <c r="G16" s="4">
        <f>transform!F35</f>
        <v>1993</v>
      </c>
      <c r="H16" s="8">
        <f>transform!G35</f>
        <v>3</v>
      </c>
      <c r="I16" s="8">
        <f>transform!H35</f>
        <v>1</v>
      </c>
      <c r="J16" s="4">
        <v>0</v>
      </c>
      <c r="K16" s="4">
        <f>transform!CC35</f>
        <v>2</v>
      </c>
      <c r="L16" s="4">
        <f>transform!CD35</f>
        <v>2</v>
      </c>
      <c r="M16" s="4">
        <f>transform!CE35</f>
        <v>2</v>
      </c>
      <c r="N16" s="4">
        <f>transform!CF35</f>
        <v>2</v>
      </c>
      <c r="O16" s="4">
        <f>transform!CG35</f>
        <v>2</v>
      </c>
      <c r="P16" s="4">
        <f>transform!CH35</f>
        <v>2</v>
      </c>
      <c r="Q16" s="4">
        <f>transform!CI35</f>
        <v>1</v>
      </c>
      <c r="R16" s="4">
        <f>transform!CJ35</f>
        <v>2</v>
      </c>
      <c r="S16" s="4">
        <f t="shared" si="3"/>
        <v>0</v>
      </c>
      <c r="T16" s="4">
        <f t="shared" si="4"/>
        <v>1</v>
      </c>
      <c r="U16" s="4">
        <f t="shared" si="0"/>
        <v>3</v>
      </c>
      <c r="V16" s="4">
        <f>transform!CK35</f>
        <v>2</v>
      </c>
      <c r="W16" s="4">
        <f>transform!CL35</f>
        <v>1</v>
      </c>
      <c r="X16" s="4">
        <f>transform!CM35</f>
        <v>2</v>
      </c>
      <c r="Y16" s="4">
        <f t="shared" si="5"/>
        <v>0</v>
      </c>
      <c r="Z16" s="4">
        <f t="shared" si="6"/>
        <v>1</v>
      </c>
      <c r="AA16" s="4">
        <f t="shared" si="1"/>
        <v>3</v>
      </c>
      <c r="AB16" s="4">
        <f>transform!CN35</f>
        <v>2</v>
      </c>
      <c r="AC16" s="4">
        <f>transform!CO35</f>
        <v>1</v>
      </c>
      <c r="AD16" s="4">
        <f>transform!CP35</f>
        <v>2</v>
      </c>
      <c r="AE16" s="4">
        <f t="shared" si="7"/>
        <v>0</v>
      </c>
      <c r="AF16" s="4">
        <f t="shared" si="8"/>
        <v>1</v>
      </c>
      <c r="AG16" s="4">
        <f t="shared" si="2"/>
        <v>3</v>
      </c>
      <c r="AH16" s="4">
        <f>transform!CQ35</f>
        <v>2</v>
      </c>
      <c r="AI16" s="4">
        <f t="shared" si="9"/>
        <v>1</v>
      </c>
      <c r="AJ16" s="4">
        <f t="shared" si="10"/>
        <v>2</v>
      </c>
      <c r="AK16" s="4">
        <f t="shared" si="11"/>
        <v>1</v>
      </c>
      <c r="AL16" s="4">
        <f t="shared" si="12"/>
        <v>1</v>
      </c>
      <c r="AM16" s="4">
        <f t="shared" si="13"/>
        <v>1</v>
      </c>
      <c r="AN16" s="4">
        <f t="shared" si="14"/>
        <v>1</v>
      </c>
      <c r="AO16" s="4">
        <f t="shared" si="15"/>
        <v>1</v>
      </c>
      <c r="AP16" s="4">
        <f t="shared" si="16"/>
        <v>2</v>
      </c>
      <c r="AQ16" s="4">
        <f t="shared" si="17"/>
        <v>1</v>
      </c>
      <c r="AR16" s="4">
        <f t="shared" si="18"/>
        <v>1</v>
      </c>
    </row>
    <row r="17" spans="1:44">
      <c r="A17" s="4">
        <v>0</v>
      </c>
      <c r="B17" s="4">
        <f>transform!A36</f>
        <v>5</v>
      </c>
      <c r="C17" s="4">
        <f>transform!B36</f>
        <v>1</v>
      </c>
      <c r="D17" s="4">
        <f>transform!C36</f>
        <v>5</v>
      </c>
      <c r="E17" s="7">
        <f>transform!D36</f>
        <v>40876</v>
      </c>
      <c r="F17" s="8">
        <f>transform!E36</f>
        <v>2</v>
      </c>
      <c r="G17" s="4">
        <f>transform!F36</f>
        <v>1992</v>
      </c>
      <c r="H17" s="8">
        <f>transform!G36</f>
        <v>6</v>
      </c>
      <c r="I17" s="8">
        <f>transform!H36</f>
        <v>1</v>
      </c>
      <c r="J17" s="4">
        <v>0</v>
      </c>
      <c r="K17" s="4">
        <f>transform!CC36</f>
        <v>1</v>
      </c>
      <c r="L17" s="4">
        <f>transform!CD36</f>
        <v>1</v>
      </c>
      <c r="M17" s="4">
        <f>transform!CE36</f>
        <v>1</v>
      </c>
      <c r="N17" s="4">
        <f>transform!CF36</f>
        <v>1</v>
      </c>
      <c r="O17" s="4">
        <f>transform!CG36</f>
        <v>1</v>
      </c>
      <c r="P17" s="4">
        <f>transform!CH36</f>
        <v>1</v>
      </c>
      <c r="Q17" s="4">
        <f>transform!CI36</f>
        <v>1</v>
      </c>
      <c r="R17" s="4">
        <f>transform!CJ36</f>
        <v>2</v>
      </c>
      <c r="S17" s="4">
        <f t="shared" si="3"/>
        <v>0</v>
      </c>
      <c r="T17" s="4">
        <f t="shared" si="4"/>
        <v>1</v>
      </c>
      <c r="U17" s="4">
        <f t="shared" si="0"/>
        <v>3</v>
      </c>
      <c r="V17" s="4">
        <f>transform!CK36</f>
        <v>2</v>
      </c>
      <c r="W17" s="4">
        <f>transform!CL36</f>
        <v>1</v>
      </c>
      <c r="X17" s="4">
        <f>transform!CM36</f>
        <v>1</v>
      </c>
      <c r="Y17" s="4">
        <f t="shared" si="5"/>
        <v>1</v>
      </c>
      <c r="Z17" s="4">
        <f t="shared" si="6"/>
        <v>0</v>
      </c>
      <c r="AA17" s="4">
        <f t="shared" si="1"/>
        <v>2</v>
      </c>
      <c r="AB17" s="4">
        <f>transform!CN36</f>
        <v>1</v>
      </c>
      <c r="AC17" s="4">
        <f>transform!CO36</f>
        <v>0</v>
      </c>
      <c r="AD17" s="4">
        <f>transform!CP36</f>
        <v>2</v>
      </c>
      <c r="AE17" s="4">
        <f t="shared" si="7"/>
        <v>0</v>
      </c>
      <c r="AF17" s="4">
        <f t="shared" si="8"/>
        <v>0</v>
      </c>
      <c r="AG17" s="4">
        <f t="shared" si="2"/>
        <v>1</v>
      </c>
      <c r="AH17" s="4">
        <f>transform!CQ36</f>
        <v>1</v>
      </c>
      <c r="AI17" s="4">
        <f t="shared" si="9"/>
        <v>2</v>
      </c>
      <c r="AJ17" s="4">
        <f t="shared" si="10"/>
        <v>1</v>
      </c>
      <c r="AK17" s="4">
        <f t="shared" si="11"/>
        <v>1</v>
      </c>
      <c r="AL17" s="4">
        <f t="shared" si="12"/>
        <v>1</v>
      </c>
      <c r="AM17" s="4">
        <f t="shared" si="13"/>
        <v>1</v>
      </c>
      <c r="AN17" s="4">
        <f t="shared" si="14"/>
        <v>1</v>
      </c>
      <c r="AO17" s="4">
        <f t="shared" si="15"/>
        <v>1</v>
      </c>
      <c r="AP17" s="4">
        <f t="shared" si="16"/>
        <v>2</v>
      </c>
      <c r="AQ17" s="4">
        <f t="shared" si="17"/>
        <v>1</v>
      </c>
      <c r="AR17" s="4">
        <f t="shared" si="18"/>
        <v>1</v>
      </c>
    </row>
    <row r="18" spans="1:44">
      <c r="A18" s="4">
        <v>0</v>
      </c>
      <c r="B18" s="4">
        <f>transform!A38</f>
        <v>5</v>
      </c>
      <c r="C18" s="4">
        <f>transform!B38</f>
        <v>1</v>
      </c>
      <c r="D18" s="4">
        <f>transform!C38</f>
        <v>7</v>
      </c>
      <c r="E18" s="7">
        <f>transform!D38</f>
        <v>40876</v>
      </c>
      <c r="F18" s="8">
        <f>transform!E38</f>
        <v>2</v>
      </c>
      <c r="G18" s="4">
        <f>transform!F38</f>
        <v>1988</v>
      </c>
      <c r="H18" s="8">
        <f>transform!G38</f>
        <v>4</v>
      </c>
      <c r="I18" s="4">
        <f>transform!H38</f>
        <v>2</v>
      </c>
      <c r="J18" s="4">
        <v>0</v>
      </c>
      <c r="K18" s="4">
        <f>transform!CC38</f>
        <v>2</v>
      </c>
      <c r="L18" s="4">
        <f>transform!CD38</f>
        <v>2</v>
      </c>
      <c r="M18" s="4">
        <f>transform!CE38</f>
        <v>2</v>
      </c>
      <c r="N18" s="4">
        <f>transform!CF38</f>
        <v>2</v>
      </c>
      <c r="O18" s="4">
        <f>transform!CG38</f>
        <v>1</v>
      </c>
      <c r="P18" s="4">
        <f>transform!CH38</f>
        <v>2</v>
      </c>
      <c r="Q18" s="4">
        <f>transform!CI38</f>
        <v>1</v>
      </c>
      <c r="R18" s="4">
        <f>transform!CJ38</f>
        <v>2</v>
      </c>
      <c r="S18" s="4">
        <f t="shared" si="3"/>
        <v>0</v>
      </c>
      <c r="T18" s="4">
        <f t="shared" si="4"/>
        <v>1</v>
      </c>
      <c r="U18" s="4">
        <f t="shared" si="0"/>
        <v>3</v>
      </c>
      <c r="V18" s="4">
        <f>transform!CK38</f>
        <v>2</v>
      </c>
      <c r="W18" s="4">
        <f>transform!CL38</f>
        <v>1</v>
      </c>
      <c r="X18" s="4">
        <f>transform!CM38</f>
        <v>1</v>
      </c>
      <c r="Y18" s="4">
        <f t="shared" si="5"/>
        <v>1</v>
      </c>
      <c r="Z18" s="4">
        <f t="shared" si="6"/>
        <v>0</v>
      </c>
      <c r="AA18" s="4">
        <f t="shared" si="1"/>
        <v>2</v>
      </c>
      <c r="AB18" s="4">
        <f>transform!CN38</f>
        <v>2</v>
      </c>
      <c r="AC18" s="4">
        <f>transform!CO38</f>
        <v>1</v>
      </c>
      <c r="AD18" s="4">
        <f>transform!CP38</f>
        <v>1</v>
      </c>
      <c r="AE18" s="4">
        <f t="shared" si="7"/>
        <v>1</v>
      </c>
      <c r="AF18" s="4">
        <f t="shared" si="8"/>
        <v>0</v>
      </c>
      <c r="AG18" s="4">
        <f t="shared" si="2"/>
        <v>2</v>
      </c>
      <c r="AH18" s="4">
        <f>transform!CQ38</f>
        <v>2</v>
      </c>
      <c r="AI18" s="4">
        <f t="shared" si="9"/>
        <v>1</v>
      </c>
      <c r="AJ18" s="4">
        <f t="shared" si="10"/>
        <v>2</v>
      </c>
      <c r="AK18" s="4">
        <f t="shared" si="11"/>
        <v>1</v>
      </c>
      <c r="AL18" s="4">
        <f t="shared" si="12"/>
        <v>1</v>
      </c>
      <c r="AM18" s="4">
        <f t="shared" si="13"/>
        <v>1</v>
      </c>
      <c r="AN18" s="4">
        <f t="shared" si="14"/>
        <v>1</v>
      </c>
      <c r="AO18" s="4">
        <f t="shared" si="15"/>
        <v>1</v>
      </c>
      <c r="AP18" s="4">
        <f t="shared" si="16"/>
        <v>2</v>
      </c>
      <c r="AQ18" s="4">
        <f t="shared" si="17"/>
        <v>1</v>
      </c>
      <c r="AR18" s="4">
        <f t="shared" si="18"/>
        <v>1</v>
      </c>
    </row>
    <row r="19" spans="1:44">
      <c r="A19" s="4">
        <v>0</v>
      </c>
      <c r="B19" s="4">
        <f>transform!A42</f>
        <v>1</v>
      </c>
      <c r="C19" s="4">
        <f>transform!B42</f>
        <v>2</v>
      </c>
      <c r="D19" s="4">
        <f>transform!C42</f>
        <v>5</v>
      </c>
      <c r="E19" s="7">
        <f>transform!D42</f>
        <v>40883</v>
      </c>
      <c r="F19" s="4">
        <f>transform!E42</f>
        <v>1</v>
      </c>
      <c r="G19" s="4">
        <f>transform!F42</f>
        <v>1990</v>
      </c>
      <c r="H19" s="8">
        <f>transform!G42</f>
        <v>3</v>
      </c>
      <c r="I19" s="4">
        <f>transform!H42</f>
        <v>2</v>
      </c>
      <c r="J19" s="4">
        <v>0</v>
      </c>
      <c r="K19" s="4">
        <f>transform!CC42</f>
        <v>2</v>
      </c>
      <c r="L19" s="4">
        <f>transform!CD42</f>
        <v>2</v>
      </c>
      <c r="M19" s="4">
        <f>transform!CE42</f>
        <v>2</v>
      </c>
      <c r="N19" s="4">
        <f>transform!CF42</f>
        <v>2</v>
      </c>
      <c r="O19" s="4">
        <f>transform!CG42</f>
        <v>2</v>
      </c>
      <c r="P19" s="4">
        <f>transform!CH42</f>
        <v>2</v>
      </c>
      <c r="Q19" s="4">
        <f>transform!CI42</f>
        <v>1</v>
      </c>
      <c r="R19" s="4">
        <f>transform!CJ42</f>
        <v>2</v>
      </c>
      <c r="S19" s="4">
        <f t="shared" si="3"/>
        <v>0</v>
      </c>
      <c r="T19" s="4">
        <f t="shared" si="4"/>
        <v>1</v>
      </c>
      <c r="U19" s="4">
        <f t="shared" si="0"/>
        <v>3</v>
      </c>
      <c r="V19" s="4">
        <f>transform!CK42</f>
        <v>2</v>
      </c>
      <c r="W19" s="4">
        <f>transform!CL42</f>
        <v>1</v>
      </c>
      <c r="X19" s="4">
        <f>transform!CM42</f>
        <v>2</v>
      </c>
      <c r="Y19" s="4">
        <f t="shared" si="5"/>
        <v>0</v>
      </c>
      <c r="Z19" s="4">
        <f t="shared" si="6"/>
        <v>1</v>
      </c>
      <c r="AA19" s="4">
        <f t="shared" si="1"/>
        <v>3</v>
      </c>
      <c r="AB19" s="4">
        <f>transform!CN42</f>
        <v>2</v>
      </c>
      <c r="AC19" s="4">
        <f>transform!CO42</f>
        <v>1</v>
      </c>
      <c r="AD19" s="4">
        <f>transform!CP42</f>
        <v>2</v>
      </c>
      <c r="AE19" s="4">
        <f t="shared" si="7"/>
        <v>0</v>
      </c>
      <c r="AF19" s="4">
        <f t="shared" si="8"/>
        <v>1</v>
      </c>
      <c r="AG19" s="4">
        <f t="shared" si="2"/>
        <v>3</v>
      </c>
      <c r="AH19" s="4">
        <f>transform!CQ42</f>
        <v>2</v>
      </c>
      <c r="AI19" s="4">
        <f t="shared" si="9"/>
        <v>1</v>
      </c>
      <c r="AJ19" s="4">
        <f t="shared" si="10"/>
        <v>2</v>
      </c>
      <c r="AK19" s="4">
        <f t="shared" si="11"/>
        <v>1</v>
      </c>
      <c r="AL19" s="4">
        <f t="shared" si="12"/>
        <v>1</v>
      </c>
      <c r="AM19" s="4">
        <f t="shared" si="13"/>
        <v>1</v>
      </c>
      <c r="AN19" s="4">
        <f t="shared" si="14"/>
        <v>1</v>
      </c>
      <c r="AO19" s="4">
        <f t="shared" si="15"/>
        <v>1</v>
      </c>
      <c r="AP19" s="4">
        <f t="shared" si="16"/>
        <v>2</v>
      </c>
      <c r="AQ19" s="4">
        <f t="shared" si="17"/>
        <v>1</v>
      </c>
      <c r="AR19" s="4">
        <f t="shared" si="18"/>
        <v>1</v>
      </c>
    </row>
    <row r="20" spans="1:44">
      <c r="A20" s="4">
        <v>0</v>
      </c>
      <c r="B20" s="4">
        <f>transform!A44</f>
        <v>1</v>
      </c>
      <c r="C20" s="4">
        <f>transform!B44</f>
        <v>2</v>
      </c>
      <c r="D20" s="4">
        <f>transform!C44</f>
        <v>7</v>
      </c>
      <c r="E20" s="7">
        <f>transform!D44</f>
        <v>40876</v>
      </c>
      <c r="F20" s="4">
        <f>transform!E44</f>
        <v>1</v>
      </c>
      <c r="G20" s="4">
        <f>transform!F44</f>
        <v>1992</v>
      </c>
      <c r="H20" s="8">
        <f>transform!G44</f>
        <v>6</v>
      </c>
      <c r="I20" s="4">
        <f>transform!H44</f>
        <v>2</v>
      </c>
      <c r="J20" s="4">
        <v>0</v>
      </c>
      <c r="K20" s="4">
        <f>transform!CC44</f>
        <v>2</v>
      </c>
      <c r="L20" s="4">
        <f>transform!CD44</f>
        <v>2</v>
      </c>
      <c r="M20" s="4">
        <f>transform!CE44</f>
        <v>1</v>
      </c>
      <c r="N20" s="4">
        <f>transform!CF44</f>
        <v>1</v>
      </c>
      <c r="O20" s="4">
        <f>transform!CG44</f>
        <v>2</v>
      </c>
      <c r="P20" s="4">
        <f>transform!CH44</f>
        <v>2</v>
      </c>
      <c r="Q20" s="4">
        <f>transform!CI44</f>
        <v>1</v>
      </c>
      <c r="R20" s="4">
        <f>transform!CJ44</f>
        <v>2</v>
      </c>
      <c r="S20" s="4">
        <f t="shared" si="3"/>
        <v>0</v>
      </c>
      <c r="T20" s="4">
        <f t="shared" si="4"/>
        <v>1</v>
      </c>
      <c r="U20" s="4">
        <f t="shared" si="0"/>
        <v>3</v>
      </c>
      <c r="V20" s="4">
        <f>transform!CK44</f>
        <v>1</v>
      </c>
      <c r="W20" s="4">
        <f>transform!CL44</f>
        <v>1</v>
      </c>
      <c r="X20" s="4">
        <f>transform!CM44</f>
        <v>1</v>
      </c>
      <c r="Y20" s="4">
        <f t="shared" si="5"/>
        <v>1</v>
      </c>
      <c r="Z20" s="4">
        <f t="shared" si="6"/>
        <v>0</v>
      </c>
      <c r="AA20" s="4">
        <f t="shared" si="1"/>
        <v>2</v>
      </c>
      <c r="AB20" s="4">
        <f>transform!CN44</f>
        <v>2</v>
      </c>
      <c r="AC20" s="4">
        <f>transform!CO44</f>
        <v>1</v>
      </c>
      <c r="AD20" s="4">
        <f>transform!CP44</f>
        <v>2</v>
      </c>
      <c r="AE20" s="4">
        <f t="shared" si="7"/>
        <v>0</v>
      </c>
      <c r="AF20" s="4">
        <f t="shared" si="8"/>
        <v>1</v>
      </c>
      <c r="AG20" s="4">
        <f t="shared" si="2"/>
        <v>3</v>
      </c>
      <c r="AH20" s="4">
        <f>transform!CQ44</f>
        <v>1</v>
      </c>
      <c r="AI20" s="4">
        <f t="shared" si="9"/>
        <v>1</v>
      </c>
      <c r="AJ20" s="4">
        <f t="shared" si="10"/>
        <v>2</v>
      </c>
      <c r="AK20" s="4">
        <f t="shared" si="11"/>
        <v>1</v>
      </c>
      <c r="AL20" s="4">
        <f t="shared" si="12"/>
        <v>1</v>
      </c>
      <c r="AM20" s="4">
        <f t="shared" si="13"/>
        <v>1</v>
      </c>
      <c r="AN20" s="4">
        <f t="shared" si="14"/>
        <v>1</v>
      </c>
      <c r="AO20" s="4">
        <f t="shared" si="15"/>
        <v>1</v>
      </c>
      <c r="AP20" s="4">
        <f t="shared" si="16"/>
        <v>1</v>
      </c>
      <c r="AQ20" s="4">
        <f t="shared" si="17"/>
        <v>1</v>
      </c>
      <c r="AR20" s="4">
        <f t="shared" si="18"/>
        <v>2</v>
      </c>
    </row>
    <row r="21" spans="1:44">
      <c r="A21" s="4">
        <v>0</v>
      </c>
      <c r="B21" s="4">
        <f>transform!A47</f>
        <v>2</v>
      </c>
      <c r="C21" s="4">
        <f>transform!B47</f>
        <v>2</v>
      </c>
      <c r="D21" s="4">
        <f>transform!C47</f>
        <v>2</v>
      </c>
      <c r="E21" s="7">
        <f>transform!D47</f>
        <v>40876</v>
      </c>
      <c r="F21" s="4">
        <f>transform!E47</f>
        <v>1</v>
      </c>
      <c r="G21" s="4">
        <f>transform!F47</f>
        <v>1992</v>
      </c>
      <c r="H21" s="8">
        <f>transform!G47</f>
        <v>1</v>
      </c>
      <c r="I21" s="8">
        <f>transform!H47</f>
        <v>1</v>
      </c>
      <c r="J21" s="4">
        <v>0</v>
      </c>
      <c r="K21" s="4">
        <f>transform!CC47</f>
        <v>1</v>
      </c>
      <c r="L21" s="4">
        <f>transform!CD47</f>
        <v>2</v>
      </c>
      <c r="M21" s="4">
        <f>transform!CE47</f>
        <v>1</v>
      </c>
      <c r="N21" s="4">
        <f>transform!CF47</f>
        <v>2</v>
      </c>
      <c r="O21" s="4">
        <f>transform!CG47</f>
        <v>1</v>
      </c>
      <c r="P21" s="4">
        <f>transform!CH47</f>
        <v>2</v>
      </c>
      <c r="Q21" s="4">
        <f>transform!CI47</f>
        <v>1</v>
      </c>
      <c r="R21" s="4">
        <f>transform!CJ47</f>
        <v>1</v>
      </c>
      <c r="S21" s="4">
        <f t="shared" si="3"/>
        <v>1</v>
      </c>
      <c r="T21" s="4">
        <f t="shared" si="4"/>
        <v>0</v>
      </c>
      <c r="U21" s="4">
        <f t="shared" si="0"/>
        <v>2</v>
      </c>
      <c r="V21" s="4">
        <f>transform!CK47</f>
        <v>2</v>
      </c>
      <c r="W21" s="4">
        <f>transform!CL47</f>
        <v>1</v>
      </c>
      <c r="X21" s="4">
        <f>transform!CM47</f>
        <v>1</v>
      </c>
      <c r="Y21" s="4">
        <f t="shared" si="5"/>
        <v>1</v>
      </c>
      <c r="Z21" s="4">
        <f t="shared" si="6"/>
        <v>0</v>
      </c>
      <c r="AA21" s="4">
        <f t="shared" si="1"/>
        <v>2</v>
      </c>
      <c r="AB21" s="4">
        <f>transform!CN47</f>
        <v>2</v>
      </c>
      <c r="AC21" s="4">
        <f>transform!CO47</f>
        <v>1</v>
      </c>
      <c r="AD21" s="4">
        <f>transform!CP47</f>
        <v>1</v>
      </c>
      <c r="AE21" s="4">
        <f t="shared" si="7"/>
        <v>1</v>
      </c>
      <c r="AF21" s="4">
        <f t="shared" si="8"/>
        <v>0</v>
      </c>
      <c r="AG21" s="4">
        <f t="shared" si="2"/>
        <v>2</v>
      </c>
      <c r="AH21" s="4">
        <f>transform!CQ47</f>
        <v>2</v>
      </c>
      <c r="AI21" s="4">
        <f t="shared" si="9"/>
        <v>1</v>
      </c>
      <c r="AJ21" s="4">
        <f t="shared" si="10"/>
        <v>1</v>
      </c>
      <c r="AK21" s="4">
        <f t="shared" si="11"/>
        <v>2</v>
      </c>
      <c r="AL21" s="4">
        <f t="shared" si="12"/>
        <v>1</v>
      </c>
      <c r="AM21" s="4">
        <f t="shared" si="13"/>
        <v>1</v>
      </c>
      <c r="AN21" s="4">
        <f t="shared" si="14"/>
        <v>1</v>
      </c>
      <c r="AO21" s="4">
        <f t="shared" si="15"/>
        <v>1</v>
      </c>
      <c r="AP21" s="4">
        <f t="shared" si="16"/>
        <v>1</v>
      </c>
      <c r="AQ21" s="4">
        <f t="shared" si="17"/>
        <v>2</v>
      </c>
      <c r="AR21" s="4">
        <f t="shared" si="18"/>
        <v>1</v>
      </c>
    </row>
    <row r="22" spans="1:44">
      <c r="A22" s="4">
        <v>0</v>
      </c>
      <c r="B22" s="4">
        <f>transform!A51</f>
        <v>2</v>
      </c>
      <c r="C22" s="4">
        <f>transform!B51</f>
        <v>2</v>
      </c>
      <c r="D22" s="4">
        <f>transform!C51</f>
        <v>6</v>
      </c>
      <c r="E22" s="7">
        <f>transform!D51</f>
        <v>40876</v>
      </c>
      <c r="F22" s="4">
        <f>transform!E51</f>
        <v>1</v>
      </c>
      <c r="G22" s="4">
        <f>transform!F51</f>
        <v>1985</v>
      </c>
      <c r="H22" s="8">
        <f>transform!G51</f>
        <v>4</v>
      </c>
      <c r="I22" s="4">
        <f>transform!H51</f>
        <v>2</v>
      </c>
      <c r="J22" s="4">
        <v>0</v>
      </c>
      <c r="K22" s="4">
        <f>transform!CC51</f>
        <v>1</v>
      </c>
      <c r="L22" s="4">
        <f>transform!CD51</f>
        <v>2</v>
      </c>
      <c r="M22" s="4">
        <f>transform!CE51</f>
        <v>1</v>
      </c>
      <c r="N22" s="4">
        <f>transform!CF51</f>
        <v>2</v>
      </c>
      <c r="O22" s="4">
        <f>transform!CG51</f>
        <v>1</v>
      </c>
      <c r="P22" s="4">
        <f>transform!CH51</f>
        <v>2</v>
      </c>
      <c r="Q22" s="4">
        <f>transform!CI51</f>
        <v>1</v>
      </c>
      <c r="R22" s="4">
        <f>transform!CJ51</f>
        <v>2</v>
      </c>
      <c r="S22" s="4">
        <f t="shared" si="3"/>
        <v>0</v>
      </c>
      <c r="T22" s="4">
        <f t="shared" si="4"/>
        <v>1</v>
      </c>
      <c r="U22" s="4">
        <f t="shared" si="0"/>
        <v>3</v>
      </c>
      <c r="V22" s="4">
        <f>transform!CK51</f>
        <v>1</v>
      </c>
      <c r="W22" s="4">
        <f>transform!CL51</f>
        <v>1</v>
      </c>
      <c r="X22" s="4">
        <f>transform!CM51</f>
        <v>2</v>
      </c>
      <c r="Y22" s="4">
        <f t="shared" si="5"/>
        <v>0</v>
      </c>
      <c r="Z22" s="4">
        <f t="shared" si="6"/>
        <v>1</v>
      </c>
      <c r="AA22" s="4">
        <f t="shared" si="1"/>
        <v>3</v>
      </c>
      <c r="AB22" s="4">
        <f>transform!CN51</f>
        <v>1</v>
      </c>
      <c r="AC22" s="4">
        <f>transform!CO51</f>
        <v>1</v>
      </c>
      <c r="AD22" s="4">
        <f>transform!CP51</f>
        <v>2</v>
      </c>
      <c r="AE22" s="4">
        <f t="shared" si="7"/>
        <v>0</v>
      </c>
      <c r="AF22" s="4">
        <f t="shared" si="8"/>
        <v>1</v>
      </c>
      <c r="AG22" s="4">
        <f t="shared" si="2"/>
        <v>3</v>
      </c>
      <c r="AH22" s="4">
        <f>transform!CQ51</f>
        <v>1</v>
      </c>
      <c r="AI22" s="4">
        <f t="shared" si="9"/>
        <v>1</v>
      </c>
      <c r="AJ22" s="4">
        <f t="shared" si="10"/>
        <v>1</v>
      </c>
      <c r="AK22" s="4">
        <f t="shared" si="11"/>
        <v>2</v>
      </c>
      <c r="AL22" s="4">
        <f t="shared" si="12"/>
        <v>1</v>
      </c>
      <c r="AM22" s="4">
        <f t="shared" si="13"/>
        <v>1</v>
      </c>
      <c r="AN22" s="4">
        <f t="shared" si="14"/>
        <v>1</v>
      </c>
      <c r="AO22" s="4">
        <f t="shared" si="15"/>
        <v>1</v>
      </c>
      <c r="AP22" s="4">
        <f t="shared" si="16"/>
        <v>1</v>
      </c>
      <c r="AQ22" s="4">
        <f t="shared" si="17"/>
        <v>1</v>
      </c>
      <c r="AR22" s="4">
        <f t="shared" si="18"/>
        <v>2</v>
      </c>
    </row>
    <row r="23" spans="1:44">
      <c r="A23" s="4">
        <v>0</v>
      </c>
      <c r="B23" s="4">
        <f>transform!A52</f>
        <v>2</v>
      </c>
      <c r="C23" s="4">
        <f>transform!B52</f>
        <v>2</v>
      </c>
      <c r="D23" s="4">
        <f>transform!C52</f>
        <v>7</v>
      </c>
      <c r="E23" s="7">
        <f>transform!D52</f>
        <v>40882</v>
      </c>
      <c r="F23" s="4">
        <f>transform!E52</f>
        <v>1</v>
      </c>
      <c r="G23" s="4">
        <f>transform!F52</f>
        <v>1990</v>
      </c>
      <c r="H23" s="8">
        <f>transform!G52</f>
        <v>1</v>
      </c>
      <c r="I23" s="8">
        <f>transform!H52</f>
        <v>1</v>
      </c>
      <c r="J23" s="4">
        <v>0</v>
      </c>
      <c r="K23" s="4">
        <f>transform!CC52</f>
        <v>2</v>
      </c>
      <c r="L23" s="4">
        <f>transform!CD52</f>
        <v>2</v>
      </c>
      <c r="M23" s="4">
        <f>transform!CE52</f>
        <v>2</v>
      </c>
      <c r="N23" s="4">
        <f>transform!CF52</f>
        <v>2</v>
      </c>
      <c r="O23" s="4">
        <f>transform!CG52</f>
        <v>1</v>
      </c>
      <c r="P23" s="4">
        <f>transform!CH52</f>
        <v>2</v>
      </c>
      <c r="Q23" s="4">
        <f>transform!CI52</f>
        <v>0</v>
      </c>
      <c r="R23" s="4">
        <f>transform!CJ52</f>
        <v>1</v>
      </c>
      <c r="S23" s="4">
        <f t="shared" si="3"/>
        <v>0</v>
      </c>
      <c r="T23" s="4">
        <f t="shared" si="4"/>
        <v>0</v>
      </c>
      <c r="U23" s="4">
        <f t="shared" si="0"/>
        <v>1</v>
      </c>
      <c r="V23" s="4">
        <f>transform!CK52</f>
        <v>2</v>
      </c>
      <c r="W23" s="4">
        <f>transform!CL52</f>
        <v>0</v>
      </c>
      <c r="X23" s="4">
        <f>transform!CM52</f>
        <v>1</v>
      </c>
      <c r="Y23" s="4">
        <f t="shared" si="5"/>
        <v>0</v>
      </c>
      <c r="Z23" s="4">
        <f t="shared" si="6"/>
        <v>0</v>
      </c>
      <c r="AA23" s="4">
        <f t="shared" si="1"/>
        <v>1</v>
      </c>
      <c r="AB23" s="4">
        <f>transform!CN52</f>
        <v>1</v>
      </c>
      <c r="AC23" s="4">
        <f>transform!CO52</f>
        <v>1</v>
      </c>
      <c r="AD23" s="4">
        <f>transform!CP52</f>
        <v>1</v>
      </c>
      <c r="AE23" s="4">
        <f t="shared" si="7"/>
        <v>1</v>
      </c>
      <c r="AF23" s="4">
        <f t="shared" si="8"/>
        <v>0</v>
      </c>
      <c r="AG23" s="4">
        <f t="shared" si="2"/>
        <v>2</v>
      </c>
      <c r="AH23" s="4">
        <f>transform!CQ52</f>
        <v>1</v>
      </c>
      <c r="AI23" s="4">
        <f t="shared" si="9"/>
        <v>1</v>
      </c>
      <c r="AJ23" s="4">
        <f t="shared" si="10"/>
        <v>2</v>
      </c>
      <c r="AK23" s="4">
        <f t="shared" si="11"/>
        <v>1</v>
      </c>
      <c r="AL23" s="4">
        <f t="shared" si="12"/>
        <v>1</v>
      </c>
      <c r="AM23" s="4">
        <f t="shared" si="13"/>
        <v>1</v>
      </c>
      <c r="AN23" s="4">
        <f t="shared" si="14"/>
        <v>2</v>
      </c>
      <c r="AO23" s="4">
        <f t="shared" si="15"/>
        <v>1</v>
      </c>
      <c r="AP23" s="4">
        <f t="shared" si="16"/>
        <v>1</v>
      </c>
      <c r="AQ23" s="4">
        <f t="shared" si="17"/>
        <v>1</v>
      </c>
      <c r="AR23" s="4">
        <f t="shared" si="18"/>
        <v>1</v>
      </c>
    </row>
    <row r="24" spans="1:44">
      <c r="A24" s="4">
        <v>0</v>
      </c>
      <c r="B24" s="4">
        <f>transform!A55</f>
        <v>3</v>
      </c>
      <c r="C24" s="4">
        <f>transform!B55</f>
        <v>2</v>
      </c>
      <c r="D24" s="4">
        <f>transform!C55</f>
        <v>1</v>
      </c>
      <c r="E24" s="7">
        <f>transform!D55</f>
        <v>40876</v>
      </c>
      <c r="F24" s="4">
        <f>transform!E55</f>
        <v>1</v>
      </c>
      <c r="G24" s="4">
        <f>transform!F55</f>
        <v>1988</v>
      </c>
      <c r="H24" s="8">
        <f>transform!G55</f>
        <v>5</v>
      </c>
      <c r="I24" s="8">
        <f>transform!H55</f>
        <v>1</v>
      </c>
      <c r="J24" s="4">
        <v>0</v>
      </c>
      <c r="K24" s="4">
        <f>transform!CC55</f>
        <v>1</v>
      </c>
      <c r="L24" s="4">
        <f>transform!CD55</f>
        <v>2</v>
      </c>
      <c r="M24" s="4">
        <f>transform!CE55</f>
        <v>1</v>
      </c>
      <c r="N24" s="4">
        <f>transform!CF55</f>
        <v>2</v>
      </c>
      <c r="O24" s="4">
        <f>transform!CG55</f>
        <v>1</v>
      </c>
      <c r="P24" s="4">
        <f>transform!CH55</f>
        <v>2</v>
      </c>
      <c r="Q24" s="4">
        <f>transform!CI55</f>
        <v>0</v>
      </c>
      <c r="R24" s="4">
        <f>transform!CJ55</f>
        <v>1</v>
      </c>
      <c r="S24" s="4">
        <f t="shared" si="3"/>
        <v>0</v>
      </c>
      <c r="T24" s="4">
        <f t="shared" si="4"/>
        <v>0</v>
      </c>
      <c r="U24" s="4">
        <f t="shared" si="0"/>
        <v>1</v>
      </c>
      <c r="V24" s="4">
        <f>transform!CK55</f>
        <v>2</v>
      </c>
      <c r="W24" s="4">
        <f>transform!CL55</f>
        <v>0</v>
      </c>
      <c r="X24" s="4">
        <f>transform!CM55</f>
        <v>1</v>
      </c>
      <c r="Y24" s="4">
        <f t="shared" si="5"/>
        <v>0</v>
      </c>
      <c r="Z24" s="4">
        <f t="shared" si="6"/>
        <v>0</v>
      </c>
      <c r="AA24" s="4">
        <f t="shared" si="1"/>
        <v>1</v>
      </c>
      <c r="AB24" s="4">
        <f>transform!CN55</f>
        <v>2</v>
      </c>
      <c r="AC24" s="4">
        <f>transform!CO55</f>
        <v>0</v>
      </c>
      <c r="AD24" s="4">
        <f>transform!CP55</f>
        <v>1</v>
      </c>
      <c r="AE24" s="4">
        <f t="shared" si="7"/>
        <v>0</v>
      </c>
      <c r="AF24" s="4">
        <f t="shared" si="8"/>
        <v>0</v>
      </c>
      <c r="AG24" s="4">
        <f t="shared" si="2"/>
        <v>1</v>
      </c>
      <c r="AH24" s="4">
        <f>transform!CQ55</f>
        <v>2</v>
      </c>
      <c r="AI24" s="4">
        <f t="shared" si="9"/>
        <v>1</v>
      </c>
      <c r="AJ24" s="4">
        <f t="shared" si="10"/>
        <v>1</v>
      </c>
      <c r="AK24" s="4">
        <f t="shared" si="11"/>
        <v>2</v>
      </c>
      <c r="AL24" s="4">
        <f t="shared" si="12"/>
        <v>1</v>
      </c>
      <c r="AM24" s="4">
        <f t="shared" si="13"/>
        <v>1</v>
      </c>
      <c r="AN24" s="4">
        <f t="shared" si="14"/>
        <v>2</v>
      </c>
      <c r="AO24" s="4">
        <f t="shared" si="15"/>
        <v>1</v>
      </c>
      <c r="AP24" s="4">
        <f t="shared" si="16"/>
        <v>1</v>
      </c>
      <c r="AQ24" s="4">
        <f t="shared" si="17"/>
        <v>1</v>
      </c>
      <c r="AR24" s="4">
        <f t="shared" si="18"/>
        <v>1</v>
      </c>
    </row>
    <row r="25" spans="1:44">
      <c r="A25" s="4">
        <v>0</v>
      </c>
      <c r="B25" s="4">
        <f>transform!A56</f>
        <v>3</v>
      </c>
      <c r="C25" s="4">
        <f>transform!B56</f>
        <v>2</v>
      </c>
      <c r="D25" s="4">
        <f>transform!C56</f>
        <v>2</v>
      </c>
      <c r="E25" s="7">
        <f>transform!D56</f>
        <v>40883</v>
      </c>
      <c r="F25" s="4">
        <f>transform!E56</f>
        <v>1</v>
      </c>
      <c r="G25" s="4">
        <f>transform!F56</f>
        <v>1989</v>
      </c>
      <c r="H25" s="8">
        <f>transform!G56</f>
        <v>3</v>
      </c>
      <c r="I25" s="8">
        <f>transform!H56</f>
        <v>1</v>
      </c>
      <c r="J25" s="4">
        <v>0</v>
      </c>
      <c r="K25" s="4">
        <f>transform!CC56</f>
        <v>2</v>
      </c>
      <c r="L25" s="4">
        <f>transform!CD56</f>
        <v>1</v>
      </c>
      <c r="M25" s="4">
        <f>transform!CE56</f>
        <v>2</v>
      </c>
      <c r="N25" s="4">
        <f>transform!CF56</f>
        <v>2</v>
      </c>
      <c r="O25" s="4">
        <f>transform!CG56</f>
        <v>2</v>
      </c>
      <c r="P25" s="4">
        <f>transform!CH56</f>
        <v>2</v>
      </c>
      <c r="Q25" s="4">
        <f>transform!CI56</f>
        <v>0</v>
      </c>
      <c r="R25" s="4">
        <f>transform!CJ56</f>
        <v>2</v>
      </c>
      <c r="S25" s="4">
        <f t="shared" si="3"/>
        <v>0</v>
      </c>
      <c r="T25" s="4">
        <f t="shared" si="4"/>
        <v>0</v>
      </c>
      <c r="U25" s="4">
        <f t="shared" si="0"/>
        <v>1</v>
      </c>
      <c r="V25" s="4">
        <f>transform!CK56</f>
        <v>2</v>
      </c>
      <c r="W25" s="4">
        <f>transform!CL56</f>
        <v>0</v>
      </c>
      <c r="X25" s="4">
        <f>transform!CM56</f>
        <v>2</v>
      </c>
      <c r="Y25" s="4">
        <f t="shared" si="5"/>
        <v>0</v>
      </c>
      <c r="Z25" s="4">
        <f t="shared" si="6"/>
        <v>0</v>
      </c>
      <c r="AA25" s="4">
        <f t="shared" si="1"/>
        <v>1</v>
      </c>
      <c r="AB25" s="4">
        <f>transform!CN56</f>
        <v>1</v>
      </c>
      <c r="AC25" s="4">
        <f>transform!CO56</f>
        <v>0</v>
      </c>
      <c r="AD25" s="4">
        <f>transform!CP56</f>
        <v>2</v>
      </c>
      <c r="AE25" s="4">
        <f t="shared" si="7"/>
        <v>0</v>
      </c>
      <c r="AF25" s="4">
        <f t="shared" si="8"/>
        <v>0</v>
      </c>
      <c r="AG25" s="4">
        <f t="shared" si="2"/>
        <v>1</v>
      </c>
      <c r="AH25" s="4">
        <f>transform!CQ56</f>
        <v>1</v>
      </c>
      <c r="AI25" s="4">
        <f t="shared" si="9"/>
        <v>1</v>
      </c>
      <c r="AJ25" s="4">
        <f t="shared" si="10"/>
        <v>1</v>
      </c>
      <c r="AK25" s="4">
        <f t="shared" si="11"/>
        <v>1</v>
      </c>
      <c r="AL25" s="4">
        <f t="shared" si="12"/>
        <v>2</v>
      </c>
      <c r="AM25" s="4">
        <f t="shared" si="13"/>
        <v>1</v>
      </c>
      <c r="AN25" s="4">
        <f t="shared" si="14"/>
        <v>2</v>
      </c>
      <c r="AO25" s="4">
        <f t="shared" si="15"/>
        <v>1</v>
      </c>
      <c r="AP25" s="4">
        <f t="shared" si="16"/>
        <v>1</v>
      </c>
      <c r="AQ25" s="4">
        <f t="shared" si="17"/>
        <v>1</v>
      </c>
      <c r="AR25" s="4">
        <f t="shared" si="18"/>
        <v>1</v>
      </c>
    </row>
    <row r="26" spans="1:44">
      <c r="A26" s="4">
        <v>0</v>
      </c>
      <c r="B26" s="4">
        <f>transform!A60</f>
        <v>3</v>
      </c>
      <c r="C26" s="4">
        <f>transform!B60</f>
        <v>2</v>
      </c>
      <c r="D26" s="4">
        <f>transform!C60</f>
        <v>6</v>
      </c>
      <c r="E26" s="7">
        <f>transform!D60</f>
        <v>40886</v>
      </c>
      <c r="F26" s="4">
        <f>transform!E60</f>
        <v>1</v>
      </c>
      <c r="G26" s="4">
        <f>transform!F60</f>
        <v>1992</v>
      </c>
      <c r="H26" s="8">
        <f>transform!G60</f>
        <v>3</v>
      </c>
      <c r="I26" s="8">
        <f>transform!H60</f>
        <v>1</v>
      </c>
      <c r="J26" s="4">
        <v>0</v>
      </c>
      <c r="K26" s="4">
        <f>transform!CC60</f>
        <v>1</v>
      </c>
      <c r="L26" s="4">
        <f>transform!CD60</f>
        <v>1</v>
      </c>
      <c r="M26" s="4">
        <f>transform!CE60</f>
        <v>2</v>
      </c>
      <c r="N26" s="4">
        <f>transform!CF60</f>
        <v>2</v>
      </c>
      <c r="O26" s="4">
        <f>transform!CG60</f>
        <v>1</v>
      </c>
      <c r="P26" s="4">
        <f>transform!CH60</f>
        <v>2</v>
      </c>
      <c r="Q26" s="4">
        <f>transform!CI60</f>
        <v>0</v>
      </c>
      <c r="R26" s="4">
        <f>transform!CJ60</f>
        <v>2</v>
      </c>
      <c r="S26" s="4">
        <f t="shared" si="3"/>
        <v>0</v>
      </c>
      <c r="T26" s="4">
        <f t="shared" si="4"/>
        <v>0</v>
      </c>
      <c r="U26" s="4">
        <f t="shared" si="0"/>
        <v>1</v>
      </c>
      <c r="V26" s="4">
        <f>transform!CK60</f>
        <v>2</v>
      </c>
      <c r="W26" s="4">
        <f>transform!CL60</f>
        <v>0</v>
      </c>
      <c r="X26" s="4">
        <f>transform!CM60</f>
        <v>1</v>
      </c>
      <c r="Y26" s="4">
        <f t="shared" si="5"/>
        <v>0</v>
      </c>
      <c r="Z26" s="4">
        <f t="shared" si="6"/>
        <v>0</v>
      </c>
      <c r="AA26" s="4">
        <f t="shared" si="1"/>
        <v>1</v>
      </c>
      <c r="AB26" s="4">
        <f>transform!CN60</f>
        <v>1</v>
      </c>
      <c r="AC26" s="4">
        <f>transform!CO60</f>
        <v>1</v>
      </c>
      <c r="AD26" s="4">
        <f>transform!CP60</f>
        <v>1</v>
      </c>
      <c r="AE26" s="4">
        <f t="shared" si="7"/>
        <v>1</v>
      </c>
      <c r="AF26" s="4">
        <f t="shared" si="8"/>
        <v>0</v>
      </c>
      <c r="AG26" s="4">
        <f t="shared" si="2"/>
        <v>2</v>
      </c>
      <c r="AH26" s="4">
        <f>transform!CQ60</f>
        <v>2</v>
      </c>
      <c r="AI26" s="4">
        <f t="shared" si="9"/>
        <v>2</v>
      </c>
      <c r="AJ26" s="4">
        <f t="shared" si="10"/>
        <v>1</v>
      </c>
      <c r="AK26" s="4">
        <f t="shared" si="11"/>
        <v>1</v>
      </c>
      <c r="AL26" s="4">
        <f t="shared" si="12"/>
        <v>1</v>
      </c>
      <c r="AM26" s="4">
        <f t="shared" si="13"/>
        <v>1</v>
      </c>
      <c r="AN26" s="4">
        <f t="shared" si="14"/>
        <v>2</v>
      </c>
      <c r="AO26" s="4">
        <f t="shared" si="15"/>
        <v>1</v>
      </c>
      <c r="AP26" s="4">
        <f t="shared" si="16"/>
        <v>1</v>
      </c>
      <c r="AQ26" s="4">
        <f t="shared" si="17"/>
        <v>1</v>
      </c>
      <c r="AR26" s="4">
        <f t="shared" si="18"/>
        <v>1</v>
      </c>
    </row>
    <row r="27" spans="1:44">
      <c r="A27" s="4">
        <v>0</v>
      </c>
      <c r="B27" s="4">
        <f>transform!A62</f>
        <v>3</v>
      </c>
      <c r="C27" s="4">
        <f>transform!B62</f>
        <v>2</v>
      </c>
      <c r="D27" s="4">
        <f>transform!C62</f>
        <v>8</v>
      </c>
      <c r="E27" s="7">
        <f>transform!D62</f>
        <v>40876</v>
      </c>
      <c r="F27" s="4">
        <f>transform!E62</f>
        <v>1</v>
      </c>
      <c r="G27" s="4">
        <f>transform!F62</f>
        <v>1991</v>
      </c>
      <c r="H27" s="8">
        <f>transform!G62</f>
        <v>1</v>
      </c>
      <c r="I27" s="8">
        <f>transform!H62</f>
        <v>1</v>
      </c>
      <c r="J27" s="4">
        <v>0</v>
      </c>
      <c r="K27" s="4">
        <f>transform!CC62</f>
        <v>2</v>
      </c>
      <c r="L27" s="4">
        <f>transform!CD62</f>
        <v>2</v>
      </c>
      <c r="M27" s="4">
        <f>transform!CE62</f>
        <v>2</v>
      </c>
      <c r="N27" s="4">
        <f>transform!CF62</f>
        <v>2</v>
      </c>
      <c r="O27" s="4">
        <f>transform!CG62</f>
        <v>1</v>
      </c>
      <c r="P27" s="4">
        <f>transform!CH62</f>
        <v>2</v>
      </c>
      <c r="Q27" s="4">
        <f>transform!CI62</f>
        <v>0</v>
      </c>
      <c r="R27" s="4">
        <f>transform!CJ62</f>
        <v>2</v>
      </c>
      <c r="S27" s="4">
        <f t="shared" si="3"/>
        <v>0</v>
      </c>
      <c r="T27" s="4">
        <f t="shared" si="4"/>
        <v>0</v>
      </c>
      <c r="U27" s="4">
        <f t="shared" si="0"/>
        <v>1</v>
      </c>
      <c r="V27" s="4">
        <f>transform!CK62</f>
        <v>2</v>
      </c>
      <c r="W27" s="4">
        <f>transform!CL62</f>
        <v>0</v>
      </c>
      <c r="X27" s="4">
        <f>transform!CM62</f>
        <v>2</v>
      </c>
      <c r="Y27" s="4">
        <f t="shared" si="5"/>
        <v>0</v>
      </c>
      <c r="Z27" s="4">
        <f t="shared" si="6"/>
        <v>0</v>
      </c>
      <c r="AA27" s="4">
        <f t="shared" si="1"/>
        <v>1</v>
      </c>
      <c r="AB27" s="4">
        <f>transform!CN62</f>
        <v>2</v>
      </c>
      <c r="AC27" s="4">
        <f>transform!CO62</f>
        <v>0</v>
      </c>
      <c r="AD27" s="4">
        <f>transform!CP62</f>
        <v>2</v>
      </c>
      <c r="AE27" s="4">
        <f t="shared" si="7"/>
        <v>0</v>
      </c>
      <c r="AF27" s="4">
        <f t="shared" si="8"/>
        <v>0</v>
      </c>
      <c r="AG27" s="4">
        <f t="shared" si="2"/>
        <v>1</v>
      </c>
      <c r="AH27" s="4">
        <f>transform!CQ62</f>
        <v>2</v>
      </c>
      <c r="AI27" s="4">
        <f t="shared" si="9"/>
        <v>1</v>
      </c>
      <c r="AJ27" s="4">
        <f t="shared" si="10"/>
        <v>2</v>
      </c>
      <c r="AK27" s="4">
        <f t="shared" si="11"/>
        <v>1</v>
      </c>
      <c r="AL27" s="4">
        <f t="shared" si="12"/>
        <v>1</v>
      </c>
      <c r="AM27" s="4">
        <f t="shared" si="13"/>
        <v>1</v>
      </c>
      <c r="AN27" s="4">
        <f t="shared" si="14"/>
        <v>2</v>
      </c>
      <c r="AO27" s="4">
        <f t="shared" si="15"/>
        <v>1</v>
      </c>
      <c r="AP27" s="4">
        <f t="shared" si="16"/>
        <v>1</v>
      </c>
      <c r="AQ27" s="4">
        <f t="shared" si="17"/>
        <v>1</v>
      </c>
      <c r="AR27" s="4">
        <f t="shared" si="18"/>
        <v>1</v>
      </c>
    </row>
    <row r="28" spans="1:44">
      <c r="A28" s="4">
        <v>0</v>
      </c>
      <c r="B28" s="4">
        <f>transform!A65</f>
        <v>4</v>
      </c>
      <c r="C28" s="4">
        <f>transform!B65</f>
        <v>2</v>
      </c>
      <c r="D28" s="4">
        <f>transform!C65</f>
        <v>3</v>
      </c>
      <c r="E28" s="7">
        <f>transform!D65</f>
        <v>40876</v>
      </c>
      <c r="F28" s="8">
        <f>transform!E65</f>
        <v>2</v>
      </c>
      <c r="G28" s="4">
        <f>transform!F65</f>
        <v>1993</v>
      </c>
      <c r="H28" s="8">
        <f>transform!G65</f>
        <v>3</v>
      </c>
      <c r="I28" s="8">
        <f>transform!H65</f>
        <v>1</v>
      </c>
      <c r="J28" s="4">
        <v>0</v>
      </c>
      <c r="K28" s="4">
        <f>transform!CC65</f>
        <v>2</v>
      </c>
      <c r="L28" s="4">
        <f>transform!CD65</f>
        <v>2</v>
      </c>
      <c r="M28" s="4">
        <f>transform!CE65</f>
        <v>1</v>
      </c>
      <c r="N28" s="4">
        <f>transform!CF65</f>
        <v>1</v>
      </c>
      <c r="O28" s="4">
        <f>transform!CG65</f>
        <v>1</v>
      </c>
      <c r="P28" s="4">
        <f>transform!CH65</f>
        <v>1</v>
      </c>
      <c r="Q28" s="4">
        <f>transform!CI65</f>
        <v>0</v>
      </c>
      <c r="R28" s="4">
        <f>transform!CJ65</f>
        <v>2</v>
      </c>
      <c r="S28" s="4">
        <f t="shared" si="3"/>
        <v>0</v>
      </c>
      <c r="T28" s="4">
        <f t="shared" si="4"/>
        <v>0</v>
      </c>
      <c r="U28" s="4">
        <f t="shared" si="0"/>
        <v>1</v>
      </c>
      <c r="V28" s="4">
        <f>transform!CK65</f>
        <v>2</v>
      </c>
      <c r="W28" s="4">
        <f>transform!CL65</f>
        <v>1</v>
      </c>
      <c r="X28" s="4">
        <f>transform!CM65</f>
        <v>1</v>
      </c>
      <c r="Y28" s="4">
        <f t="shared" si="5"/>
        <v>1</v>
      </c>
      <c r="Z28" s="4">
        <f t="shared" si="6"/>
        <v>0</v>
      </c>
      <c r="AA28" s="4">
        <f t="shared" si="1"/>
        <v>2</v>
      </c>
      <c r="AB28" s="4">
        <f>transform!CN65</f>
        <v>2</v>
      </c>
      <c r="AC28" s="4">
        <f>transform!CO65</f>
        <v>1</v>
      </c>
      <c r="AD28" s="4">
        <f>transform!CP65</f>
        <v>1</v>
      </c>
      <c r="AE28" s="4">
        <f t="shared" si="7"/>
        <v>1</v>
      </c>
      <c r="AF28" s="4">
        <f t="shared" si="8"/>
        <v>0</v>
      </c>
      <c r="AG28" s="4">
        <f t="shared" si="2"/>
        <v>2</v>
      </c>
      <c r="AH28" s="4">
        <f>transform!CQ65</f>
        <v>1</v>
      </c>
      <c r="AI28" s="4">
        <f t="shared" si="9"/>
        <v>1</v>
      </c>
      <c r="AJ28" s="4">
        <f t="shared" si="10"/>
        <v>2</v>
      </c>
      <c r="AK28" s="4">
        <f t="shared" si="11"/>
        <v>1</v>
      </c>
      <c r="AL28" s="4">
        <f t="shared" si="12"/>
        <v>1</v>
      </c>
      <c r="AM28" s="4">
        <f t="shared" si="13"/>
        <v>1</v>
      </c>
      <c r="AN28" s="4">
        <f t="shared" si="14"/>
        <v>2</v>
      </c>
      <c r="AO28" s="4">
        <f t="shared" si="15"/>
        <v>1</v>
      </c>
      <c r="AP28" s="4">
        <f t="shared" si="16"/>
        <v>1</v>
      </c>
      <c r="AQ28" s="4">
        <f t="shared" si="17"/>
        <v>1</v>
      </c>
      <c r="AR28" s="4">
        <f t="shared" si="18"/>
        <v>1</v>
      </c>
    </row>
    <row r="29" spans="1:44">
      <c r="A29" s="4">
        <v>0</v>
      </c>
      <c r="B29" s="4">
        <f>transform!A67</f>
        <v>4</v>
      </c>
      <c r="C29" s="4">
        <f>transform!B67</f>
        <v>2</v>
      </c>
      <c r="D29" s="4">
        <f>transform!C67</f>
        <v>5</v>
      </c>
      <c r="E29" s="7">
        <f>transform!D67</f>
        <v>40876</v>
      </c>
      <c r="F29" s="8">
        <f>transform!E67</f>
        <v>2</v>
      </c>
      <c r="G29" s="4">
        <f>transform!F67</f>
        <v>0</v>
      </c>
      <c r="H29" s="8">
        <f>transform!G67</f>
        <v>4</v>
      </c>
      <c r="I29" s="8">
        <f>transform!H67</f>
        <v>1</v>
      </c>
      <c r="J29" s="4">
        <v>0</v>
      </c>
      <c r="K29" s="4">
        <f>transform!CC67</f>
        <v>2</v>
      </c>
      <c r="L29" s="4">
        <f>transform!CD67</f>
        <v>2</v>
      </c>
      <c r="M29" s="4">
        <f>transform!CE67</f>
        <v>2</v>
      </c>
      <c r="N29" s="4">
        <f>transform!CF67</f>
        <v>2</v>
      </c>
      <c r="O29" s="4">
        <f>transform!CG67</f>
        <v>2</v>
      </c>
      <c r="P29" s="4">
        <f>transform!CH67</f>
        <v>2</v>
      </c>
      <c r="Q29" s="4">
        <f>transform!CI67</f>
        <v>0</v>
      </c>
      <c r="R29" s="4">
        <f>transform!CJ67</f>
        <v>2</v>
      </c>
      <c r="S29" s="4">
        <f t="shared" si="3"/>
        <v>0</v>
      </c>
      <c r="T29" s="4">
        <f t="shared" si="4"/>
        <v>0</v>
      </c>
      <c r="U29" s="4">
        <f t="shared" si="0"/>
        <v>1</v>
      </c>
      <c r="V29" s="4">
        <f>transform!CK67</f>
        <v>2</v>
      </c>
      <c r="W29" s="4">
        <f>transform!CL67</f>
        <v>0</v>
      </c>
      <c r="X29" s="4">
        <f>transform!CM67</f>
        <v>2</v>
      </c>
      <c r="Y29" s="4">
        <f t="shared" si="5"/>
        <v>0</v>
      </c>
      <c r="Z29" s="4">
        <f t="shared" si="6"/>
        <v>0</v>
      </c>
      <c r="AA29" s="4">
        <f t="shared" si="1"/>
        <v>1</v>
      </c>
      <c r="AB29" s="4">
        <f>transform!CN67</f>
        <v>2</v>
      </c>
      <c r="AC29" s="4">
        <f>transform!CO67</f>
        <v>0</v>
      </c>
      <c r="AD29" s="4">
        <f>transform!CP67</f>
        <v>2</v>
      </c>
      <c r="AE29" s="4">
        <f t="shared" si="7"/>
        <v>0</v>
      </c>
      <c r="AF29" s="4">
        <f t="shared" si="8"/>
        <v>0</v>
      </c>
      <c r="AG29" s="4">
        <f t="shared" si="2"/>
        <v>1</v>
      </c>
      <c r="AH29" s="4">
        <f>transform!CQ67</f>
        <v>2</v>
      </c>
      <c r="AI29" s="4">
        <f t="shared" si="9"/>
        <v>1</v>
      </c>
      <c r="AJ29" s="4">
        <f t="shared" si="10"/>
        <v>2</v>
      </c>
      <c r="AK29" s="4">
        <f t="shared" si="11"/>
        <v>1</v>
      </c>
      <c r="AL29" s="4">
        <f t="shared" si="12"/>
        <v>1</v>
      </c>
      <c r="AM29" s="4">
        <f t="shared" si="13"/>
        <v>1</v>
      </c>
      <c r="AN29" s="4">
        <f t="shared" si="14"/>
        <v>2</v>
      </c>
      <c r="AO29" s="4">
        <f t="shared" si="15"/>
        <v>1</v>
      </c>
      <c r="AP29" s="4">
        <f t="shared" si="16"/>
        <v>1</v>
      </c>
      <c r="AQ29" s="4">
        <f t="shared" si="17"/>
        <v>1</v>
      </c>
      <c r="AR29" s="4">
        <f t="shared" si="18"/>
        <v>1</v>
      </c>
    </row>
    <row r="30" spans="1:44">
      <c r="A30" s="4">
        <v>0</v>
      </c>
      <c r="B30" s="4">
        <f>transform!A68</f>
        <v>4</v>
      </c>
      <c r="C30" s="4">
        <f>transform!B68</f>
        <v>2</v>
      </c>
      <c r="D30" s="4">
        <f>transform!C68</f>
        <v>6</v>
      </c>
      <c r="E30" s="7">
        <f>transform!D68</f>
        <v>40876</v>
      </c>
      <c r="F30" s="8">
        <f>transform!E68</f>
        <v>2</v>
      </c>
      <c r="G30" s="4">
        <f>transform!F68</f>
        <v>1992</v>
      </c>
      <c r="H30" s="8">
        <f>transform!G68</f>
        <v>3</v>
      </c>
      <c r="I30" s="8">
        <f>transform!H68</f>
        <v>1</v>
      </c>
      <c r="J30" s="4">
        <v>0</v>
      </c>
      <c r="K30" s="4">
        <f>transform!CC68</f>
        <v>2</v>
      </c>
      <c r="L30" s="4">
        <f>transform!CD68</f>
        <v>2</v>
      </c>
      <c r="M30" s="4">
        <f>transform!CE68</f>
        <v>2</v>
      </c>
      <c r="N30" s="4">
        <f>transform!CF68</f>
        <v>2</v>
      </c>
      <c r="O30" s="4">
        <f>transform!CG68</f>
        <v>2</v>
      </c>
      <c r="P30" s="4">
        <f>transform!CH68</f>
        <v>1</v>
      </c>
      <c r="Q30" s="4">
        <f>transform!CI68</f>
        <v>1</v>
      </c>
      <c r="R30" s="4">
        <f>transform!CJ68</f>
        <v>2</v>
      </c>
      <c r="S30" s="4">
        <f t="shared" si="3"/>
        <v>0</v>
      </c>
      <c r="T30" s="4">
        <f t="shared" si="4"/>
        <v>1</v>
      </c>
      <c r="U30" s="4">
        <f t="shared" si="0"/>
        <v>3</v>
      </c>
      <c r="V30" s="4">
        <f>transform!CK68</f>
        <v>2</v>
      </c>
      <c r="W30" s="4">
        <f>transform!CL68</f>
        <v>1</v>
      </c>
      <c r="X30" s="4">
        <f>transform!CM68</f>
        <v>1</v>
      </c>
      <c r="Y30" s="4">
        <f t="shared" si="5"/>
        <v>1</v>
      </c>
      <c r="Z30" s="4">
        <f t="shared" si="6"/>
        <v>0</v>
      </c>
      <c r="AA30" s="4">
        <f t="shared" si="1"/>
        <v>2</v>
      </c>
      <c r="AB30" s="4">
        <f>transform!CN68</f>
        <v>1</v>
      </c>
      <c r="AC30" s="4">
        <f>transform!CO68</f>
        <v>0</v>
      </c>
      <c r="AD30" s="4">
        <f>transform!CP68</f>
        <v>1</v>
      </c>
      <c r="AE30" s="4">
        <f t="shared" si="7"/>
        <v>0</v>
      </c>
      <c r="AF30" s="4">
        <f t="shared" si="8"/>
        <v>0</v>
      </c>
      <c r="AG30" s="4">
        <f t="shared" si="2"/>
        <v>1</v>
      </c>
      <c r="AH30" s="4">
        <f>transform!CQ68</f>
        <v>1</v>
      </c>
      <c r="AI30" s="4">
        <f t="shared" si="9"/>
        <v>1</v>
      </c>
      <c r="AJ30" s="4">
        <f t="shared" si="10"/>
        <v>2</v>
      </c>
      <c r="AK30" s="4">
        <f t="shared" si="11"/>
        <v>1</v>
      </c>
      <c r="AL30" s="4">
        <f t="shared" si="12"/>
        <v>1</v>
      </c>
      <c r="AM30" s="4">
        <f t="shared" si="13"/>
        <v>1</v>
      </c>
      <c r="AN30" s="4">
        <f t="shared" si="14"/>
        <v>1</v>
      </c>
      <c r="AO30" s="4">
        <f t="shared" si="15"/>
        <v>1</v>
      </c>
      <c r="AP30" s="4">
        <f t="shared" si="16"/>
        <v>2</v>
      </c>
      <c r="AQ30" s="4">
        <f t="shared" si="17"/>
        <v>1</v>
      </c>
      <c r="AR30" s="4">
        <f t="shared" si="18"/>
        <v>1</v>
      </c>
    </row>
    <row r="31" spans="1:44">
      <c r="A31" s="4">
        <v>0</v>
      </c>
      <c r="B31" s="4">
        <f>transform!A70</f>
        <v>4</v>
      </c>
      <c r="C31" s="4">
        <f>transform!B70</f>
        <v>2</v>
      </c>
      <c r="D31" s="4">
        <f>transform!C70</f>
        <v>8</v>
      </c>
      <c r="E31" s="7">
        <f>transform!D70</f>
        <v>40876</v>
      </c>
      <c r="F31" s="8">
        <f>transform!E70</f>
        <v>2</v>
      </c>
      <c r="G31" s="4">
        <f>transform!F70</f>
        <v>1989</v>
      </c>
      <c r="H31" s="8">
        <f>transform!G70</f>
        <v>6</v>
      </c>
      <c r="I31" s="8">
        <f>transform!H70</f>
        <v>1</v>
      </c>
      <c r="J31" s="4">
        <v>0</v>
      </c>
      <c r="K31" s="4">
        <f>transform!CC70</f>
        <v>1</v>
      </c>
      <c r="L31" s="4">
        <f>transform!CD70</f>
        <v>1</v>
      </c>
      <c r="M31" s="4">
        <f>transform!CE70</f>
        <v>1</v>
      </c>
      <c r="N31" s="4">
        <f>transform!CF70</f>
        <v>1</v>
      </c>
      <c r="O31" s="4">
        <f>transform!CG70</f>
        <v>1</v>
      </c>
      <c r="P31" s="4">
        <f>transform!CH70</f>
        <v>1</v>
      </c>
      <c r="Q31" s="4">
        <f>transform!CI70</f>
        <v>1</v>
      </c>
      <c r="R31" s="4">
        <f>transform!CJ70</f>
        <v>1</v>
      </c>
      <c r="S31" s="4">
        <f t="shared" si="3"/>
        <v>1</v>
      </c>
      <c r="T31" s="4">
        <f t="shared" si="4"/>
        <v>0</v>
      </c>
      <c r="U31" s="4">
        <f t="shared" si="0"/>
        <v>2</v>
      </c>
      <c r="V31" s="4">
        <f>transform!CK70</f>
        <v>1</v>
      </c>
      <c r="W31" s="4">
        <f>transform!CL70</f>
        <v>1</v>
      </c>
      <c r="X31" s="4">
        <f>transform!CM70</f>
        <v>1</v>
      </c>
      <c r="Y31" s="4">
        <f t="shared" si="5"/>
        <v>1</v>
      </c>
      <c r="Z31" s="4">
        <f t="shared" si="6"/>
        <v>0</v>
      </c>
      <c r="AA31" s="4">
        <f t="shared" si="1"/>
        <v>2</v>
      </c>
      <c r="AB31" s="4">
        <f>transform!CN70</f>
        <v>1</v>
      </c>
      <c r="AC31" s="4">
        <f>transform!CO70</f>
        <v>1</v>
      </c>
      <c r="AD31" s="4">
        <f>transform!CP70</f>
        <v>1</v>
      </c>
      <c r="AE31" s="4">
        <f t="shared" si="7"/>
        <v>1</v>
      </c>
      <c r="AF31" s="4">
        <f t="shared" si="8"/>
        <v>0</v>
      </c>
      <c r="AG31" s="4">
        <f t="shared" si="2"/>
        <v>2</v>
      </c>
      <c r="AH31" s="4">
        <f>transform!CQ70</f>
        <v>1</v>
      </c>
      <c r="AI31" s="4">
        <f t="shared" si="9"/>
        <v>2</v>
      </c>
      <c r="AJ31" s="4">
        <f t="shared" si="10"/>
        <v>1</v>
      </c>
      <c r="AK31" s="4">
        <f t="shared" si="11"/>
        <v>1</v>
      </c>
      <c r="AL31" s="4">
        <f t="shared" si="12"/>
        <v>1</v>
      </c>
      <c r="AM31" s="4">
        <f t="shared" si="13"/>
        <v>1</v>
      </c>
      <c r="AN31" s="4">
        <f t="shared" si="14"/>
        <v>1</v>
      </c>
      <c r="AO31" s="4">
        <f t="shared" si="15"/>
        <v>2</v>
      </c>
      <c r="AP31" s="4">
        <f t="shared" si="16"/>
        <v>1</v>
      </c>
      <c r="AQ31" s="4">
        <f t="shared" si="17"/>
        <v>1</v>
      </c>
      <c r="AR31" s="4">
        <f t="shared" si="18"/>
        <v>1</v>
      </c>
    </row>
    <row r="32" spans="1:44">
      <c r="A32" s="4">
        <v>0</v>
      </c>
      <c r="B32" s="4">
        <f>transform!A71</f>
        <v>4</v>
      </c>
      <c r="C32" s="4">
        <f>transform!B71</f>
        <v>2</v>
      </c>
      <c r="D32" s="4">
        <f>transform!C71</f>
        <v>9</v>
      </c>
      <c r="E32" s="7">
        <f>transform!D71</f>
        <v>40876</v>
      </c>
      <c r="F32" s="8">
        <f>transform!E71</f>
        <v>2</v>
      </c>
      <c r="G32" s="4">
        <f>transform!F71</f>
        <v>1990</v>
      </c>
      <c r="H32" s="8">
        <f>transform!G71</f>
        <v>4</v>
      </c>
      <c r="I32" s="8">
        <f>transform!H71</f>
        <v>1</v>
      </c>
      <c r="J32" s="4">
        <v>0</v>
      </c>
      <c r="K32" s="4">
        <f>transform!CC71</f>
        <v>2</v>
      </c>
      <c r="L32" s="4">
        <f>transform!CD71</f>
        <v>2</v>
      </c>
      <c r="M32" s="4">
        <f>transform!CE71</f>
        <v>1</v>
      </c>
      <c r="N32" s="4">
        <f>transform!CF71</f>
        <v>1</v>
      </c>
      <c r="O32" s="4">
        <f>transform!CG71</f>
        <v>2</v>
      </c>
      <c r="P32" s="4">
        <f>transform!CH71</f>
        <v>1</v>
      </c>
      <c r="Q32" s="4">
        <f>transform!CI71</f>
        <v>0</v>
      </c>
      <c r="R32" s="4">
        <f>transform!CJ71</f>
        <v>2</v>
      </c>
      <c r="S32" s="4">
        <f t="shared" si="3"/>
        <v>0</v>
      </c>
      <c r="T32" s="4">
        <f t="shared" si="4"/>
        <v>0</v>
      </c>
      <c r="U32" s="4">
        <f t="shared" si="0"/>
        <v>1</v>
      </c>
      <c r="V32" s="4">
        <f>transform!CK71</f>
        <v>2</v>
      </c>
      <c r="W32" s="4">
        <f>transform!CL71</f>
        <v>0</v>
      </c>
      <c r="X32" s="4">
        <f>transform!CM71</f>
        <v>1</v>
      </c>
      <c r="Y32" s="4">
        <f t="shared" si="5"/>
        <v>0</v>
      </c>
      <c r="Z32" s="4">
        <f t="shared" si="6"/>
        <v>0</v>
      </c>
      <c r="AA32" s="4">
        <f t="shared" si="1"/>
        <v>1</v>
      </c>
      <c r="AB32" s="4">
        <f>transform!CN71</f>
        <v>2</v>
      </c>
      <c r="AC32" s="4">
        <f>transform!CO71</f>
        <v>0</v>
      </c>
      <c r="AD32" s="4">
        <f>transform!CP71</f>
        <v>2</v>
      </c>
      <c r="AE32" s="4">
        <f t="shared" si="7"/>
        <v>0</v>
      </c>
      <c r="AF32" s="4">
        <f t="shared" si="8"/>
        <v>0</v>
      </c>
      <c r="AG32" s="4">
        <f t="shared" si="2"/>
        <v>1</v>
      </c>
      <c r="AH32" s="4">
        <f>transform!CQ71</f>
        <v>1</v>
      </c>
      <c r="AI32" s="4">
        <f t="shared" si="9"/>
        <v>1</v>
      </c>
      <c r="AJ32" s="4">
        <f t="shared" si="10"/>
        <v>2</v>
      </c>
      <c r="AK32" s="4">
        <f t="shared" si="11"/>
        <v>1</v>
      </c>
      <c r="AL32" s="4">
        <f t="shared" si="12"/>
        <v>1</v>
      </c>
      <c r="AM32" s="4">
        <f t="shared" si="13"/>
        <v>1</v>
      </c>
      <c r="AN32" s="4">
        <f t="shared" si="14"/>
        <v>2</v>
      </c>
      <c r="AO32" s="4">
        <f t="shared" si="15"/>
        <v>1</v>
      </c>
      <c r="AP32" s="4">
        <f t="shared" si="16"/>
        <v>1</v>
      </c>
      <c r="AQ32" s="4">
        <f t="shared" si="17"/>
        <v>1</v>
      </c>
      <c r="AR32" s="4">
        <f t="shared" si="18"/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opLeftCell="A7" workbookViewId="0">
      <selection activeCell="I11" sqref="I11"/>
    </sheetView>
  </sheetViews>
  <sheetFormatPr defaultColWidth="8.83636363636364" defaultRowHeight="14" outlineLevelCol="4"/>
  <cols>
    <col min="1" max="1" width="8.83636363636364" style="1"/>
    <col min="2" max="2" width="10.1636363636364" style="1" customWidth="1"/>
    <col min="3" max="3" width="9.83636363636364" style="1" customWidth="1"/>
    <col min="4" max="4" width="10" style="1" customWidth="1"/>
    <col min="5" max="5" width="9.66363636363636" style="1" customWidth="1"/>
  </cols>
  <sheetData>
    <row r="1" spans="1:4">
      <c r="A1" s="2" t="s">
        <v>586</v>
      </c>
      <c r="B1" s="2"/>
      <c r="C1" s="2"/>
      <c r="D1" s="2"/>
    </row>
    <row r="2" spans="1:4">
      <c r="A2" s="2"/>
      <c r="B2" s="2" t="s">
        <v>587</v>
      </c>
      <c r="C2" s="2" t="s">
        <v>588</v>
      </c>
      <c r="D2" s="2" t="s">
        <v>589</v>
      </c>
    </row>
    <row r="3" spans="1:4">
      <c r="A3" s="1" t="s">
        <v>590</v>
      </c>
      <c r="B3" s="1">
        <f ca="1">ROUND(100*(AVERAGE(all!$AL$2:all!$AL$70)-1),0)</f>
        <v>13</v>
      </c>
      <c r="C3" s="1">
        <f ca="1">ROUND(100*(AVERAGE(all!$AP$2:all!$AP$70)-1),0)</f>
        <v>13</v>
      </c>
      <c r="D3" s="1">
        <f ca="1">ROUND(100*(AVERAGE(all!$AT$2:all!$AT$70)-1),0)</f>
        <v>12</v>
      </c>
    </row>
    <row r="4" spans="1:4">
      <c r="A4" s="1" t="s">
        <v>591</v>
      </c>
      <c r="B4" s="1">
        <f ca="1">ROUND(100*(AVERAGE(all!$AN$2:all!$AN$70)-1),0)</f>
        <v>19</v>
      </c>
      <c r="C4" s="1">
        <f ca="1">ROUND(100*(AVERAGE(all!$AR$2:all!$AR$70)-1),0)</f>
        <v>29</v>
      </c>
      <c r="D4" s="1">
        <f ca="1">ROUND(100*(AVERAGE(all!$AV$2:all!$AV$70)-1),0)</f>
        <v>39</v>
      </c>
    </row>
    <row r="5" spans="1:4">
      <c r="A5" s="1" t="s">
        <v>592</v>
      </c>
      <c r="B5" s="1">
        <f ca="1">ROUND(100*(AVERAGE(all!$AO$2:all!$AO$70)-1),0)</f>
        <v>10</v>
      </c>
      <c r="C5" s="1">
        <f ca="1">ROUND(100*(AVERAGE(all!$AS$2:all!$AS$70)-1),0)</f>
        <v>10</v>
      </c>
      <c r="D5" s="1">
        <f ca="1">ROUND(100*(AVERAGE(all!$AW$2:all!$AW$70)-1),0)</f>
        <v>14</v>
      </c>
    </row>
    <row r="6" spans="1:4">
      <c r="A6" s="1" t="s">
        <v>593</v>
      </c>
      <c r="B6" s="1">
        <f ca="1">ROUND(100*(AVERAGE(all!$AM$2:all!$AM$70)-1),0)</f>
        <v>58</v>
      </c>
      <c r="C6" s="1">
        <f ca="1">ROUND(100*(AVERAGE(all!$AQ$2:all!$AQ$70)-1),0)</f>
        <v>48</v>
      </c>
      <c r="D6" s="1">
        <f ca="1">ROUND(100*(AVERAGE(all!$AU$2:all!$AU$70)-1),0)</f>
        <v>35</v>
      </c>
    </row>
    <row r="8" spans="1:4">
      <c r="B8" s="2" t="s">
        <v>587</v>
      </c>
      <c r="C8" s="2" t="s">
        <v>588</v>
      </c>
      <c r="D8" s="2" t="s">
        <v>589</v>
      </c>
    </row>
    <row r="9" spans="1:4">
      <c r="A9" s="1" t="s">
        <v>594</v>
      </c>
      <c r="B9" s="1">
        <f ca="1">ROUND(100*(AVERAGE(all!$AZ$2:all!$AZ$70)-1),0)</f>
        <v>12</v>
      </c>
      <c r="C9" s="1">
        <f ca="1">ROUND(100*(AVERAGE(all!$BF$2:all!$BF$70)-1),0)</f>
        <v>7</v>
      </c>
      <c r="D9" s="1">
        <f ca="1">ROUND(100*(AVERAGE(all!$BL$2:all!$BL$70)-1),0)</f>
        <v>10</v>
      </c>
    </row>
    <row r="10" spans="1:4">
      <c r="A10" s="1" t="s">
        <v>595</v>
      </c>
      <c r="B10" s="1">
        <f ca="1">ROUND(100*(AVERAGE(all!$BB$2:all!$BB$70)-1),0)</f>
        <v>12</v>
      </c>
      <c r="C10" s="1">
        <f ca="1">ROUND(100*(AVERAGE(all!$BH$2:all!$BH$70)-1),0)</f>
        <v>16</v>
      </c>
      <c r="D10" s="1">
        <f ca="1">ROUND(100*(AVERAGE(all!$BN$2:all!$BN$70)-1),0)</f>
        <v>12</v>
      </c>
    </row>
    <row r="11" spans="1:4">
      <c r="A11" s="1" t="s">
        <v>596</v>
      </c>
      <c r="B11" s="1">
        <f ca="1">ROUND(100*(AVERAGE(all!$BC$2:all!$BC$70)-1),0)</f>
        <v>4</v>
      </c>
      <c r="C11" s="1">
        <f ca="1">ROUND(100*(AVERAGE(all!$BI$2:all!$BI$70)-1),0)</f>
        <v>9</v>
      </c>
      <c r="D11" s="1">
        <f ca="1">ROUND(100*(AVERAGE(all!$BO$2:all!$BO$70)-1),0)</f>
        <v>7</v>
      </c>
    </row>
    <row r="12" spans="1:4">
      <c r="A12" s="1" t="s">
        <v>597</v>
      </c>
      <c r="B12" s="1">
        <f ca="1">ROUND(100*(AVERAGE(all!$BA$2:all!$BA$70)-1),0)</f>
        <v>35</v>
      </c>
      <c r="C12" s="1">
        <f ca="1">ROUND(100*(AVERAGE(all!$BG$2:all!$BG$70)-1),0)</f>
        <v>22</v>
      </c>
      <c r="D12" s="1">
        <f ca="1">ROUND(100*(AVERAGE(all!$BM$2:all!$BM$70)-1),0)</f>
        <v>13</v>
      </c>
    </row>
    <row r="13" spans="1:4">
      <c r="A13" s="1" t="s">
        <v>598</v>
      </c>
      <c r="B13" s="1">
        <f ca="1">ROUND(100*(AVERAGE(all!$AX$2:all!$AX$70)-1),0)</f>
        <v>7</v>
      </c>
      <c r="C13" s="1">
        <f ca="1">ROUND(100*(AVERAGE(all!$BD$2:all!$BD$70)-1),0)</f>
        <v>17</v>
      </c>
      <c r="D13" s="1">
        <f ca="1">ROUND(100*(AVERAGE(all!$BJ$2:all!$BJ$70)-1),0)</f>
        <v>19</v>
      </c>
    </row>
    <row r="14" spans="1:4">
      <c r="A14" s="1" t="s">
        <v>599</v>
      </c>
      <c r="B14" s="1">
        <f ca="1">ROUND(100*(AVERAGE(all!$AY$2:all!$AY$70)-1),0)</f>
        <v>30</v>
      </c>
      <c r="C14" s="1">
        <f ca="1">ROUND(100*(AVERAGE(all!$BE$2:all!$BE$70)-1),0)</f>
        <v>29</v>
      </c>
      <c r="D14" s="1">
        <f ca="1">ROUND(100*(AVERAGE(all!$BK$2:all!$BK$70)-1),0)</f>
        <v>39</v>
      </c>
    </row>
    <row r="18" spans="1:5">
      <c r="A18" s="3" t="s">
        <v>600</v>
      </c>
      <c r="B18" s="3"/>
      <c r="C18" s="3"/>
      <c r="D18" s="3"/>
      <c r="E18" s="3"/>
    </row>
    <row r="19" ht="16" spans="1:5">
      <c r="B19" s="1" t="s">
        <v>601</v>
      </c>
      <c r="C19" s="1" t="s">
        <v>602</v>
      </c>
      <c r="D19" s="1" t="s">
        <v>603</v>
      </c>
      <c r="E19" s="1" t="s">
        <v>604</v>
      </c>
    </row>
    <row r="20" spans="1:5">
      <c r="A20" s="1" t="s">
        <v>590</v>
      </c>
      <c r="B20" s="1">
        <f ca="1">ROUND(100*(AVERAGE(highG!$AI$2:highG!$AI$31)-1),0)</f>
        <v>7</v>
      </c>
      <c r="C20" s="1">
        <f ca="1">ROUND(100*(AVERAGE(lowG!$AI$2:lowG!$AI$40)-1),0)</f>
        <v>18</v>
      </c>
      <c r="D20" s="1">
        <f ca="1">ROUND(100*(AVERAGE(highS!$AI$2:highS!$AI$39)-1),0)</f>
        <v>8</v>
      </c>
      <c r="E20" s="1">
        <f ca="1">ROUND(100*(AVERAGE(lowS!AI2:lowS!AI32)-1),0)</f>
        <v>19</v>
      </c>
    </row>
    <row r="21" spans="1:5">
      <c r="A21" s="1" t="s">
        <v>591</v>
      </c>
      <c r="B21" s="1">
        <f ca="1">ROUND(100*(AVERAGE(highG!$AK$2:highG!$AK$31)-1),0)</f>
        <v>10</v>
      </c>
      <c r="C21" s="1">
        <f ca="1">ROUND(100*(AVERAGE(lowG!$AK$2:lowG!$AK$40)-1),0)</f>
        <v>26</v>
      </c>
      <c r="D21" s="1">
        <f ca="1">ROUND(100*(AVERAGE(highS!$AK$2:highS!$AK$39)-1),0)</f>
        <v>16</v>
      </c>
      <c r="E21" s="1">
        <f ca="1">ROUND(100*(AVERAGE(lowS!$AK$2:lowS!$AK$32)-1),0)</f>
        <v>23</v>
      </c>
    </row>
    <row r="22" spans="1:5">
      <c r="A22" s="1" t="s">
        <v>592</v>
      </c>
      <c r="B22" s="1">
        <f ca="1">ROUND(100*(AVERAGE(highG!$AL$2:highG!$AL$31)-1),0)</f>
        <v>10</v>
      </c>
      <c r="C22" s="1">
        <f ca="1">ROUND(100*(AVERAGE(lowG!$AL$2:lowG!$AL$40)-1),0)</f>
        <v>10</v>
      </c>
      <c r="D22" s="1">
        <f ca="1">ROUND(100*(AVERAGE(highS!$AL$2:highS!$AL$39)-1),0)</f>
        <v>13</v>
      </c>
      <c r="E22" s="1">
        <f ca="1">ROUND(100*(AVERAGE(lowS!$AL$2:lowS!$AL$32)-1),0)</f>
        <v>6</v>
      </c>
    </row>
    <row r="23" ht="13.5" customHeight="1" spans="1:5">
      <c r="A23" s="1" t="s">
        <v>593</v>
      </c>
      <c r="B23" s="1">
        <f ca="1">ROUND(100*(AVERAGE(highG!$AJ$2:highG!$AJ$31)-1),0)</f>
        <v>73</v>
      </c>
      <c r="C23" s="1">
        <f ca="1">ROUND(100*(AVERAGE(lowG!$AJ$2:lowG!$AJ$40)-1),0)</f>
        <v>46</v>
      </c>
      <c r="D23" s="1">
        <f ca="1">ROUND(100*(AVERAGE(highS!$AJ$2:highS!$AJ$39)-1),0)</f>
        <v>63</v>
      </c>
      <c r="E23" s="1">
        <f ca="1">ROUND(100*(AVERAGE(lowS!$AJ$2:lowS!$AJ$32)-1),0)</f>
        <v>52</v>
      </c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spans="1:5">
      <c r="A34" s="3" t="s">
        <v>600</v>
      </c>
      <c r="B34" s="3"/>
      <c r="C34" s="3"/>
      <c r="D34" s="3"/>
      <c r="E34" s="3"/>
    </row>
    <row r="35" ht="16" spans="1:5">
      <c r="B35" s="1" t="s">
        <v>601</v>
      </c>
      <c r="C35" s="1" t="s">
        <v>602</v>
      </c>
      <c r="D35" s="1" t="s">
        <v>603</v>
      </c>
      <c r="E35" s="1" t="s">
        <v>604</v>
      </c>
    </row>
    <row r="36" spans="1:5">
      <c r="A36" s="1" t="s">
        <v>594</v>
      </c>
      <c r="B36" s="1">
        <f ca="1">ROUND(100*(AVERAGE(highG!$AO$2:highG!$AO$31)-1),0)</f>
        <v>7</v>
      </c>
      <c r="C36" s="1">
        <f ca="1">ROUND(100*(AVERAGE(lowG!$AO$2:lowG!$AO$40)-1),0)</f>
        <v>15</v>
      </c>
      <c r="D36" s="1">
        <f ca="1">ROUND(100*(AVERAGE(highS!$AO$2:highS!$AO$39)-1),0)</f>
        <v>8</v>
      </c>
      <c r="E36" s="1">
        <f ca="1">ROUND(100*(AVERAGE(lowS!AO8:lowS!AO38)-1),0)</f>
        <v>16</v>
      </c>
    </row>
    <row r="37" spans="1:5">
      <c r="A37" s="1" t="s">
        <v>595</v>
      </c>
      <c r="B37" s="1">
        <f ca="1">ROUND(100*(AVERAGE(highG!$AQ$2:highG!$AQ$31)-1),0)</f>
        <v>7</v>
      </c>
      <c r="C37" s="1">
        <f ca="1">ROUND(100*(AVERAGE(lowG!$AQ$2:lowG!$AQ$40)-1),0)</f>
        <v>15</v>
      </c>
      <c r="D37" s="1">
        <f ca="1">ROUND(100*(AVERAGE(highS!$AQ$2:highS!$AQ$39)-1),0)</f>
        <v>11</v>
      </c>
      <c r="E37" s="1">
        <f ca="1">ROUND(100*(AVERAGE(lowS!$AQ$2:lowS!$AQ$32)-1),0)</f>
        <v>13</v>
      </c>
    </row>
    <row r="38" spans="1:5">
      <c r="A38" s="1" t="s">
        <v>596</v>
      </c>
      <c r="B38" s="1">
        <f ca="1">ROUND(100*(AVERAGE(highG!$AR$2:highG!$AR$31)-1),0)</f>
        <v>0</v>
      </c>
      <c r="C38" s="1">
        <f ca="1">ROUND(100*(AVERAGE(lowG!$AR$2:lowG!$AR$40)-1),0)</f>
        <v>8</v>
      </c>
      <c r="D38" s="1">
        <f ca="1">ROUND(100*(AVERAGE(highS!$AR$2:highS!$AR$39)-1),0)</f>
        <v>3</v>
      </c>
      <c r="E38" s="1">
        <f ca="1">ROUND(100*(AVERAGE(lowS!$AR$2:lowS!$AR$32)-1),0)</f>
        <v>6</v>
      </c>
    </row>
    <row r="39" spans="1:5">
      <c r="A39" s="1" t="s">
        <v>597</v>
      </c>
      <c r="B39" s="1">
        <f ca="1">ROUND(100*(AVERAGE(highG!$AP$2:highG!$AP$31)-1),0)</f>
        <v>57</v>
      </c>
      <c r="C39" s="1">
        <f ca="1">ROUND(100*(AVERAGE(lowG!$AP$2:lowG!$AP$40)-1),0)</f>
        <v>18</v>
      </c>
      <c r="D39" s="1">
        <f ca="1">ROUND(100*(AVERAGE(highS!$AP$2:highS!$AP$39)-1),0)</f>
        <v>47</v>
      </c>
      <c r="E39" s="1">
        <f ca="1">ROUND(100*(AVERAGE(lowS!$AP$2:lowS!$AP$32)-1),0)</f>
        <v>19</v>
      </c>
    </row>
    <row r="40" spans="1:5">
      <c r="A40" s="1" t="s">
        <v>598</v>
      </c>
      <c r="B40" s="1">
        <f ca="1">ROUND(100*(AVERAGE(highG!$AM$2:highG!$AM$31)-1),0)</f>
        <v>3</v>
      </c>
      <c r="C40" s="1">
        <f ca="1">ROUND(100*(AVERAGE(lowG!$AM$2:lowG!$AM$40)-1),0)</f>
        <v>10</v>
      </c>
      <c r="D40" s="1">
        <f ca="1">ROUND(100*(AVERAGE(highS!$AM$2:highS!$AM$39)-1),0)</f>
        <v>13</v>
      </c>
      <c r="E40" s="1">
        <f ca="1">ROUND(100*(AVERAGE(lowS!$AM$2:lowS!$AM$32)-1),0)</f>
        <v>0</v>
      </c>
    </row>
    <row r="41" spans="1:5">
      <c r="A41" s="1" t="s">
        <v>599</v>
      </c>
      <c r="B41" s="1">
        <f ca="1">ROUND(100*(AVERAGE(highG!$AN$2:highG!$AN$31)-1),0)</f>
        <v>27</v>
      </c>
      <c r="C41" s="1">
        <f ca="1">ROUND(100*(AVERAGE(lowG!$AN$2:lowG!$AN$40)-1),0)</f>
        <v>33</v>
      </c>
      <c r="D41" s="1">
        <f ca="1">ROUND(100*(AVERAGE(highS!$AN$2:highS!$AN$39)-1),0)</f>
        <v>18</v>
      </c>
      <c r="E41" s="1">
        <f ca="1">ROUND(100*(AVERAGE(lowS!$AN$2:lowS!$AN$32)-1),0)</f>
        <v>45</v>
      </c>
    </row>
    <row r="51" ht="17.25" customHeight="1"/>
  </sheetData>
  <mergeCells count="2">
    <mergeCell ref="A18:E18"/>
    <mergeCell ref="A34:E34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Raw</vt:lpstr>
      <vt:lpstr>transform</vt:lpstr>
      <vt:lpstr>legend</vt:lpstr>
      <vt:lpstr>all</vt:lpstr>
      <vt:lpstr>highG</vt:lpstr>
      <vt:lpstr>lowG</vt:lpstr>
      <vt:lpstr>highS</vt:lpstr>
      <vt:lpstr>lowS</vt:lpstr>
      <vt:lpstr>veil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Moisan</dc:creator>
  <cp:lastModifiedBy>康昊楠</cp:lastModifiedBy>
  <dcterms:created xsi:type="dcterms:W3CDTF">2011-12-14T14:11:00Z</dcterms:created>
  <dcterms:modified xsi:type="dcterms:W3CDTF">2025-11-30T05:04:21Z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2D63FF85BFAC4571BBE225E035896825_12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